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6C0E00C4-2757-4FCB-818C-7E817CFE8E3C}" xr6:coauthVersionLast="36" xr6:coauthVersionMax="37" xr10:uidLastSave="{00000000-0000-0000-0000-000000000000}"/>
  <bookViews>
    <workbookView xWindow="0" yWindow="0" windowWidth="23040" windowHeight="8940" xr2:uid="{00000000-000D-0000-FFFF-FFFF00000000}"/>
  </bookViews>
  <sheets>
    <sheet name="ხელფასები" sheetId="1" r:id="rId1"/>
    <sheet name="map" sheetId="2" r:id="rId2"/>
    <sheet name="გადასატანი ცხრილი" sheetId="3" r:id="rId3"/>
    <sheet name="უნიკალური პ.ნ." sheetId="4" r:id="rId4"/>
    <sheet name="საპენსიო" sheetId="5" r:id="rId5"/>
  </sheets>
  <definedNames>
    <definedName name="_xlnm._FilterDatabase" localSheetId="0" hidden="1">ხელფასები!#REF!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 l="1"/>
  <c r="G7" i="1"/>
  <c r="G6" i="1"/>
  <c r="G5" i="1"/>
  <c r="G4" i="1"/>
  <c r="G3" i="1"/>
  <c r="G2" i="1"/>
  <c r="K10" i="3" l="1"/>
  <c r="K3" i="3" l="1"/>
  <c r="K2" i="3"/>
  <c r="K4" i="3" l="1"/>
  <c r="K5" i="3"/>
  <c r="K6" i="3"/>
  <c r="K7" i="3"/>
  <c r="K8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42" i="3" l="1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39" i="3" l="1"/>
  <c r="K40" i="3"/>
  <c r="K41" i="3"/>
  <c r="A19" i="2" l="1"/>
  <c r="A18" i="2"/>
  <c r="A2" i="5" l="1"/>
  <c r="B2" i="5"/>
  <c r="C2" i="5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 l="1"/>
  <c r="B10" i="5"/>
  <c r="C10" i="5"/>
  <c r="A11" i="5"/>
  <c r="B11" i="5"/>
  <c r="C11" i="5"/>
  <c r="B1" i="5"/>
  <c r="A1" i="5"/>
  <c r="A17" i="2"/>
  <c r="A12" i="5"/>
  <c r="B12" i="5"/>
  <c r="C12" i="5"/>
  <c r="A16" i="2" l="1"/>
  <c r="C1" i="5"/>
  <c r="A15" i="2"/>
  <c r="A14" i="2"/>
  <c r="A13" i="2"/>
  <c r="A3" i="2"/>
  <c r="A4" i="2"/>
  <c r="A5" i="2"/>
  <c r="A6" i="2"/>
  <c r="A7" i="2"/>
  <c r="A8" i="2"/>
  <c r="A9" i="2"/>
  <c r="A10" i="2"/>
  <c r="A11" i="2"/>
  <c r="A12" i="2"/>
  <c r="A2" i="2"/>
  <c r="M2" i="3" l="1"/>
  <c r="M3" i="3"/>
  <c r="M4" i="3"/>
  <c r="A10" i="3"/>
  <c r="B10" i="3"/>
  <c r="C10" i="3"/>
  <c r="N10" i="3"/>
  <c r="D10" i="3"/>
  <c r="O10" i="3"/>
  <c r="F10" i="3"/>
  <c r="G10" i="3"/>
  <c r="P10" i="3"/>
  <c r="H10" i="3"/>
  <c r="I10" i="3"/>
  <c r="L10" i="3"/>
  <c r="M10" i="3"/>
  <c r="E10" i="3"/>
  <c r="M29" i="3"/>
  <c r="M53" i="3"/>
  <c r="M5" i="3"/>
  <c r="M14" i="3"/>
  <c r="M22" i="3"/>
  <c r="M30" i="3"/>
  <c r="M38" i="3"/>
  <c r="M46" i="3"/>
  <c r="M54" i="3"/>
  <c r="M62" i="3"/>
  <c r="M23" i="3"/>
  <c r="M39" i="3"/>
  <c r="M47" i="3"/>
  <c r="M63" i="3"/>
  <c r="M24" i="3"/>
  <c r="M32" i="3"/>
  <c r="M56" i="3"/>
  <c r="M11" i="3"/>
  <c r="M59" i="3"/>
  <c r="M20" i="3"/>
  <c r="M44" i="3"/>
  <c r="M68" i="3"/>
  <c r="M21" i="3"/>
  <c r="M45" i="3"/>
  <c r="M69" i="3"/>
  <c r="M6" i="3"/>
  <c r="M15" i="3"/>
  <c r="M31" i="3"/>
  <c r="M55" i="3"/>
  <c r="M16" i="3"/>
  <c r="M40" i="3"/>
  <c r="M64" i="3"/>
  <c r="M19" i="3"/>
  <c r="M43" i="3"/>
  <c r="M61" i="3"/>
  <c r="M7" i="3"/>
  <c r="M48" i="3"/>
  <c r="M35" i="3"/>
  <c r="M67" i="3"/>
  <c r="M28" i="3"/>
  <c r="M52" i="3"/>
  <c r="M8" i="3"/>
  <c r="M17" i="3"/>
  <c r="M25" i="3"/>
  <c r="M33" i="3"/>
  <c r="M41" i="3"/>
  <c r="M49" i="3"/>
  <c r="M57" i="3"/>
  <c r="M65" i="3"/>
  <c r="M9" i="3"/>
  <c r="M18" i="3"/>
  <c r="M26" i="3"/>
  <c r="M34" i="3"/>
  <c r="M42" i="3"/>
  <c r="M50" i="3"/>
  <c r="M58" i="3"/>
  <c r="M66" i="3"/>
  <c r="M27" i="3"/>
  <c r="M51" i="3"/>
  <c r="M12" i="3"/>
  <c r="M36" i="3"/>
  <c r="M60" i="3"/>
  <c r="M13" i="3"/>
  <c r="M37" i="3"/>
  <c r="A3" i="3"/>
  <c r="I3" i="3"/>
  <c r="B4" i="3"/>
  <c r="C5" i="3"/>
  <c r="L5" i="3"/>
  <c r="D6" i="3"/>
  <c r="E7" i="3"/>
  <c r="N7" i="3"/>
  <c r="F8" i="3"/>
  <c r="O8" i="3"/>
  <c r="G9" i="3"/>
  <c r="P9" i="3"/>
  <c r="A11" i="3"/>
  <c r="I11" i="3"/>
  <c r="B12" i="3"/>
  <c r="C13" i="3"/>
  <c r="L13" i="3"/>
  <c r="D14" i="3"/>
  <c r="E15" i="3"/>
  <c r="N15" i="3"/>
  <c r="F16" i="3"/>
  <c r="O16" i="3"/>
  <c r="G17" i="3"/>
  <c r="P17" i="3"/>
  <c r="H18" i="3"/>
  <c r="A19" i="3"/>
  <c r="I19" i="3"/>
  <c r="B20" i="3"/>
  <c r="C21" i="3"/>
  <c r="L21" i="3"/>
  <c r="D22" i="3"/>
  <c r="E23" i="3"/>
  <c r="N23" i="3"/>
  <c r="F24" i="3"/>
  <c r="O24" i="3"/>
  <c r="G25" i="3"/>
  <c r="P25" i="3"/>
  <c r="H26" i="3"/>
  <c r="A27" i="3"/>
  <c r="I27" i="3"/>
  <c r="B28" i="3"/>
  <c r="C29" i="3"/>
  <c r="L29" i="3"/>
  <c r="D30" i="3"/>
  <c r="E31" i="3"/>
  <c r="N31" i="3"/>
  <c r="F32" i="3"/>
  <c r="O32" i="3"/>
  <c r="G33" i="3"/>
  <c r="P33" i="3"/>
  <c r="H34" i="3"/>
  <c r="E13" i="3"/>
  <c r="P15" i="3"/>
  <c r="C19" i="3"/>
  <c r="O22" i="3"/>
  <c r="I25" i="3"/>
  <c r="H32" i="3"/>
  <c r="B3" i="3"/>
  <c r="C4" i="3"/>
  <c r="L4" i="3"/>
  <c r="D5" i="3"/>
  <c r="E6" i="3"/>
  <c r="N6" i="3"/>
  <c r="F7" i="3"/>
  <c r="O7" i="3"/>
  <c r="G8" i="3"/>
  <c r="P8" i="3"/>
  <c r="H9" i="3"/>
  <c r="B11" i="3"/>
  <c r="C12" i="3"/>
  <c r="L12" i="3"/>
  <c r="D13" i="3"/>
  <c r="E14" i="3"/>
  <c r="N14" i="3"/>
  <c r="F15" i="3"/>
  <c r="O15" i="3"/>
  <c r="G16" i="3"/>
  <c r="P16" i="3"/>
  <c r="H17" i="3"/>
  <c r="A18" i="3"/>
  <c r="I18" i="3"/>
  <c r="B19" i="3"/>
  <c r="C20" i="3"/>
  <c r="L20" i="3"/>
  <c r="D21" i="3"/>
  <c r="E22" i="3"/>
  <c r="N22" i="3"/>
  <c r="F23" i="3"/>
  <c r="O23" i="3"/>
  <c r="G24" i="3"/>
  <c r="P24" i="3"/>
  <c r="H25" i="3"/>
  <c r="A26" i="3"/>
  <c r="I26" i="3"/>
  <c r="B27" i="3"/>
  <c r="C28" i="3"/>
  <c r="L28" i="3"/>
  <c r="D29" i="3"/>
  <c r="E30" i="3"/>
  <c r="N30" i="3"/>
  <c r="F31" i="3"/>
  <c r="O31" i="3"/>
  <c r="G32" i="3"/>
  <c r="P32" i="3"/>
  <c r="H33" i="3"/>
  <c r="A34" i="3"/>
  <c r="I34" i="3"/>
  <c r="F2" i="3"/>
  <c r="H16" i="3"/>
  <c r="E21" i="3"/>
  <c r="H24" i="3"/>
  <c r="D28" i="3"/>
  <c r="G31" i="3"/>
  <c r="C3" i="3"/>
  <c r="L3" i="3"/>
  <c r="D4" i="3"/>
  <c r="E5" i="3"/>
  <c r="N5" i="3"/>
  <c r="F6" i="3"/>
  <c r="O6" i="3"/>
  <c r="G7" i="3"/>
  <c r="P7" i="3"/>
  <c r="H8" i="3"/>
  <c r="A9" i="3"/>
  <c r="I9" i="3"/>
  <c r="D3" i="3"/>
  <c r="E4" i="3"/>
  <c r="N4" i="3"/>
  <c r="F5" i="3"/>
  <c r="O5" i="3"/>
  <c r="G6" i="3"/>
  <c r="P6" i="3"/>
  <c r="H7" i="3"/>
  <c r="A8" i="3"/>
  <c r="I8" i="3"/>
  <c r="B9" i="3"/>
  <c r="D11" i="3"/>
  <c r="E12" i="3"/>
  <c r="N12" i="3"/>
  <c r="F13" i="3"/>
  <c r="O13" i="3"/>
  <c r="G14" i="3"/>
  <c r="P14" i="3"/>
  <c r="H15" i="3"/>
  <c r="A16" i="3"/>
  <c r="I16" i="3"/>
  <c r="B17" i="3"/>
  <c r="C18" i="3"/>
  <c r="L18" i="3"/>
  <c r="D19" i="3"/>
  <c r="E20" i="3"/>
  <c r="N20" i="3"/>
  <c r="F21" i="3"/>
  <c r="O21" i="3"/>
  <c r="G22" i="3"/>
  <c r="P22" i="3"/>
  <c r="H23" i="3"/>
  <c r="A24" i="3"/>
  <c r="I24" i="3"/>
  <c r="B25" i="3"/>
  <c r="C26" i="3"/>
  <c r="L26" i="3"/>
  <c r="D27" i="3"/>
  <c r="E28" i="3"/>
  <c r="N28" i="3"/>
  <c r="F29" i="3"/>
  <c r="O29" i="3"/>
  <c r="G30" i="3"/>
  <c r="P30" i="3"/>
  <c r="H31" i="3"/>
  <c r="A32" i="3"/>
  <c r="I32" i="3"/>
  <c r="B33" i="3"/>
  <c r="C34" i="3"/>
  <c r="L34" i="3"/>
  <c r="H2" i="3"/>
  <c r="D33" i="3"/>
  <c r="B2" i="3"/>
  <c r="C11" i="3"/>
  <c r="O14" i="3"/>
  <c r="A17" i="3"/>
  <c r="P23" i="3"/>
  <c r="C27" i="3"/>
  <c r="N29" i="3"/>
  <c r="A33" i="3"/>
  <c r="E3" i="3"/>
  <c r="N3" i="3"/>
  <c r="F4" i="3"/>
  <c r="O4" i="3"/>
  <c r="G5" i="3"/>
  <c r="P5" i="3"/>
  <c r="H6" i="3"/>
  <c r="A7" i="3"/>
  <c r="I7" i="3"/>
  <c r="B8" i="3"/>
  <c r="C9" i="3"/>
  <c r="L9" i="3"/>
  <c r="E11" i="3"/>
  <c r="N11" i="3"/>
  <c r="F12" i="3"/>
  <c r="O12" i="3"/>
  <c r="G13" i="3"/>
  <c r="P13" i="3"/>
  <c r="H14" i="3"/>
  <c r="A15" i="3"/>
  <c r="I15" i="3"/>
  <c r="B16" i="3"/>
  <c r="C17" i="3"/>
  <c r="L17" i="3"/>
  <c r="D18" i="3"/>
  <c r="E19" i="3"/>
  <c r="N19" i="3"/>
  <c r="F20" i="3"/>
  <c r="O20" i="3"/>
  <c r="G21" i="3"/>
  <c r="P21" i="3"/>
  <c r="H22" i="3"/>
  <c r="A23" i="3"/>
  <c r="I23" i="3"/>
  <c r="B24" i="3"/>
  <c r="C25" i="3"/>
  <c r="L25" i="3"/>
  <c r="D26" i="3"/>
  <c r="E27" i="3"/>
  <c r="N27" i="3"/>
  <c r="F28" i="3"/>
  <c r="O28" i="3"/>
  <c r="G29" i="3"/>
  <c r="P29" i="3"/>
  <c r="H30" i="3"/>
  <c r="A31" i="3"/>
  <c r="I31" i="3"/>
  <c r="B32" i="3"/>
  <c r="C33" i="3"/>
  <c r="L33" i="3"/>
  <c r="D34" i="3"/>
  <c r="A2" i="3"/>
  <c r="I2" i="3"/>
  <c r="C32" i="3"/>
  <c r="N34" i="3"/>
  <c r="E2" i="3"/>
  <c r="O2" i="3"/>
  <c r="D12" i="3"/>
  <c r="F14" i="3"/>
  <c r="I17" i="3"/>
  <c r="D20" i="3"/>
  <c r="G23" i="3"/>
  <c r="A25" i="3"/>
  <c r="L27" i="3"/>
  <c r="O30" i="3"/>
  <c r="B34" i="3"/>
  <c r="F3" i="3"/>
  <c r="O3" i="3"/>
  <c r="G4" i="3"/>
  <c r="P4" i="3"/>
  <c r="H5" i="3"/>
  <c r="A6" i="3"/>
  <c r="I6" i="3"/>
  <c r="B7" i="3"/>
  <c r="C8" i="3"/>
  <c r="L8" i="3"/>
  <c r="D9" i="3"/>
  <c r="F11" i="3"/>
  <c r="O11" i="3"/>
  <c r="G12" i="3"/>
  <c r="P12" i="3"/>
  <c r="H13" i="3"/>
  <c r="A14" i="3"/>
  <c r="I14" i="3"/>
  <c r="B15" i="3"/>
  <c r="C16" i="3"/>
  <c r="L16" i="3"/>
  <c r="D17" i="3"/>
  <c r="E18" i="3"/>
  <c r="N18" i="3"/>
  <c r="F19" i="3"/>
  <c r="O19" i="3"/>
  <c r="G20" i="3"/>
  <c r="P20" i="3"/>
  <c r="H21" i="3"/>
  <c r="A22" i="3"/>
  <c r="I22" i="3"/>
  <c r="B23" i="3"/>
  <c r="C24" i="3"/>
  <c r="L24" i="3"/>
  <c r="D25" i="3"/>
  <c r="E26" i="3"/>
  <c r="N26" i="3"/>
  <c r="F27" i="3"/>
  <c r="O27" i="3"/>
  <c r="G28" i="3"/>
  <c r="P28" i="3"/>
  <c r="H29" i="3"/>
  <c r="A30" i="3"/>
  <c r="I30" i="3"/>
  <c r="B31" i="3"/>
  <c r="L32" i="3"/>
  <c r="E34" i="3"/>
  <c r="N13" i="3"/>
  <c r="L19" i="3"/>
  <c r="F22" i="3"/>
  <c r="B26" i="3"/>
  <c r="E29" i="3"/>
  <c r="P31" i="3"/>
  <c r="G2" i="3"/>
  <c r="G3" i="3"/>
  <c r="P3" i="3"/>
  <c r="H4" i="3"/>
  <c r="A5" i="3"/>
  <c r="I5" i="3"/>
  <c r="B6" i="3"/>
  <c r="C7" i="3"/>
  <c r="L7" i="3"/>
  <c r="D8" i="3"/>
  <c r="E9" i="3"/>
  <c r="N9" i="3"/>
  <c r="G11" i="3"/>
  <c r="P11" i="3"/>
  <c r="H12" i="3"/>
  <c r="A13" i="3"/>
  <c r="I13" i="3"/>
  <c r="B14" i="3"/>
  <c r="C15" i="3"/>
  <c r="L15" i="3"/>
  <c r="D16" i="3"/>
  <c r="E17" i="3"/>
  <c r="N17" i="3"/>
  <c r="F18" i="3"/>
  <c r="O18" i="3"/>
  <c r="G19" i="3"/>
  <c r="P19" i="3"/>
  <c r="H20" i="3"/>
  <c r="A21" i="3"/>
  <c r="I21" i="3"/>
  <c r="B22" i="3"/>
  <c r="C23" i="3"/>
  <c r="L23" i="3"/>
  <c r="D24" i="3"/>
  <c r="E25" i="3"/>
  <c r="N25" i="3"/>
  <c r="F26" i="3"/>
  <c r="O26" i="3"/>
  <c r="G27" i="3"/>
  <c r="P27" i="3"/>
  <c r="H28" i="3"/>
  <c r="A29" i="3"/>
  <c r="I29" i="3"/>
  <c r="B30" i="3"/>
  <c r="C31" i="3"/>
  <c r="L31" i="3"/>
  <c r="D32" i="3"/>
  <c r="E33" i="3"/>
  <c r="N33" i="3"/>
  <c r="F34" i="3"/>
  <c r="O34" i="3"/>
  <c r="C2" i="3"/>
  <c r="L2" i="3"/>
  <c r="B18" i="3"/>
  <c r="N21" i="3"/>
  <c r="P2" i="3"/>
  <c r="H3" i="3"/>
  <c r="A4" i="3"/>
  <c r="I4" i="3"/>
  <c r="B5" i="3"/>
  <c r="C6" i="3"/>
  <c r="L6" i="3"/>
  <c r="D7" i="3"/>
  <c r="E8" i="3"/>
  <c r="N8" i="3"/>
  <c r="F9" i="3"/>
  <c r="O9" i="3"/>
  <c r="H11" i="3"/>
  <c r="A12" i="3"/>
  <c r="I12" i="3"/>
  <c r="B13" i="3"/>
  <c r="C14" i="3"/>
  <c r="L14" i="3"/>
  <c r="D15" i="3"/>
  <c r="E16" i="3"/>
  <c r="N16" i="3"/>
  <c r="F17" i="3"/>
  <c r="O17" i="3"/>
  <c r="G18" i="3"/>
  <c r="P18" i="3"/>
  <c r="H19" i="3"/>
  <c r="A20" i="3"/>
  <c r="I20" i="3"/>
  <c r="B21" i="3"/>
  <c r="C22" i="3"/>
  <c r="L22" i="3"/>
  <c r="D23" i="3"/>
  <c r="E24" i="3"/>
  <c r="N24" i="3"/>
  <c r="F25" i="3"/>
  <c r="O25" i="3"/>
  <c r="G26" i="3"/>
  <c r="P26" i="3"/>
  <c r="H27" i="3"/>
  <c r="A28" i="3"/>
  <c r="I28" i="3"/>
  <c r="B29" i="3"/>
  <c r="C30" i="3"/>
  <c r="L30" i="3"/>
  <c r="D31" i="3"/>
  <c r="E32" i="3"/>
  <c r="N32" i="3"/>
  <c r="F33" i="3"/>
  <c r="O33" i="3"/>
  <c r="G34" i="3"/>
  <c r="P34" i="3"/>
  <c r="D2" i="3"/>
  <c r="N2" i="3"/>
  <c r="L11" i="3"/>
  <c r="G15" i="3"/>
  <c r="F30" i="3"/>
  <c r="I33" i="3"/>
  <c r="H38" i="3"/>
  <c r="G35" i="3"/>
  <c r="P35" i="3"/>
  <c r="H36" i="3"/>
  <c r="A37" i="3"/>
  <c r="L37" i="3"/>
  <c r="E38" i="3"/>
  <c r="P38" i="3"/>
  <c r="H35" i="3"/>
  <c r="A36" i="3"/>
  <c r="I36" i="3"/>
  <c r="B37" i="3"/>
  <c r="N37" i="3"/>
  <c r="F38" i="3"/>
  <c r="G36" i="3"/>
  <c r="A35" i="3"/>
  <c r="I35" i="3"/>
  <c r="B36" i="3"/>
  <c r="C37" i="3"/>
  <c r="O37" i="3"/>
  <c r="G38" i="3"/>
  <c r="F35" i="3"/>
  <c r="B35" i="3"/>
  <c r="C36" i="3"/>
  <c r="L36" i="3"/>
  <c r="D37" i="3"/>
  <c r="P37" i="3"/>
  <c r="C35" i="3"/>
  <c r="D36" i="3"/>
  <c r="A38" i="3"/>
  <c r="L38" i="3"/>
  <c r="D38" i="3"/>
  <c r="L35" i="3"/>
  <c r="E37" i="3"/>
  <c r="D35" i="3"/>
  <c r="E36" i="3"/>
  <c r="N36" i="3"/>
  <c r="F37" i="3"/>
  <c r="B38" i="3"/>
  <c r="N38" i="3"/>
  <c r="O35" i="3"/>
  <c r="E35" i="3"/>
  <c r="N35" i="3"/>
  <c r="F36" i="3"/>
  <c r="O36" i="3"/>
  <c r="G37" i="3"/>
  <c r="C38" i="3"/>
  <c r="O38" i="3"/>
  <c r="P36" i="3"/>
  <c r="E42" i="3"/>
  <c r="N42" i="3"/>
  <c r="F43" i="3"/>
  <c r="O43" i="3"/>
  <c r="G44" i="3"/>
  <c r="P44" i="3"/>
  <c r="H45" i="3"/>
  <c r="A46" i="3"/>
  <c r="I46" i="3"/>
  <c r="B47" i="3"/>
  <c r="C48" i="3"/>
  <c r="L48" i="3"/>
  <c r="D49" i="3"/>
  <c r="E50" i="3"/>
  <c r="N50" i="3"/>
  <c r="F51" i="3"/>
  <c r="O51" i="3"/>
  <c r="G52" i="3"/>
  <c r="P52" i="3"/>
  <c r="H53" i="3"/>
  <c r="A54" i="3"/>
  <c r="B57" i="3"/>
  <c r="L47" i="3"/>
  <c r="F50" i="3"/>
  <c r="A53" i="3"/>
  <c r="L57" i="3"/>
  <c r="N48" i="3"/>
  <c r="I52" i="3"/>
  <c r="I38" i="3"/>
  <c r="F42" i="3"/>
  <c r="O42" i="3"/>
  <c r="G43" i="3"/>
  <c r="P43" i="3"/>
  <c r="C47" i="3"/>
  <c r="O50" i="3"/>
  <c r="B54" i="3"/>
  <c r="O49" i="3"/>
  <c r="C54" i="3"/>
  <c r="H37" i="3"/>
  <c r="G42" i="3"/>
  <c r="P42" i="3"/>
  <c r="H43" i="3"/>
  <c r="A44" i="3"/>
  <c r="I44" i="3"/>
  <c r="B45" i="3"/>
  <c r="C46" i="3"/>
  <c r="L46" i="3"/>
  <c r="P50" i="3"/>
  <c r="D55" i="3"/>
  <c r="I37" i="3"/>
  <c r="H42" i="3"/>
  <c r="A43" i="3"/>
  <c r="I43" i="3"/>
  <c r="B44" i="3"/>
  <c r="C45" i="3"/>
  <c r="L45" i="3"/>
  <c r="D46" i="3"/>
  <c r="E47" i="3"/>
  <c r="N47" i="3"/>
  <c r="F48" i="3"/>
  <c r="O48" i="3"/>
  <c r="G49" i="3"/>
  <c r="P49" i="3"/>
  <c r="H50" i="3"/>
  <c r="A51" i="3"/>
  <c r="I51" i="3"/>
  <c r="B52" i="3"/>
  <c r="C53" i="3"/>
  <c r="L53" i="3"/>
  <c r="D54" i="3"/>
  <c r="E55" i="3"/>
  <c r="N55" i="3"/>
  <c r="E57" i="3"/>
  <c r="N57" i="3"/>
  <c r="O47" i="3"/>
  <c r="L52" i="3"/>
  <c r="N54" i="3"/>
  <c r="O55" i="3"/>
  <c r="O57" i="3"/>
  <c r="B46" i="3"/>
  <c r="N49" i="3"/>
  <c r="I53" i="3"/>
  <c r="D47" i="3"/>
  <c r="H51" i="3"/>
  <c r="D57" i="3"/>
  <c r="A42" i="3"/>
  <c r="I42" i="3"/>
  <c r="B43" i="3"/>
  <c r="C44" i="3"/>
  <c r="L44" i="3"/>
  <c r="D45" i="3"/>
  <c r="E46" i="3"/>
  <c r="N46" i="3"/>
  <c r="F47" i="3"/>
  <c r="G48" i="3"/>
  <c r="P48" i="3"/>
  <c r="H49" i="3"/>
  <c r="A50" i="3"/>
  <c r="I50" i="3"/>
  <c r="B51" i="3"/>
  <c r="C52" i="3"/>
  <c r="D53" i="3"/>
  <c r="E54" i="3"/>
  <c r="F55" i="3"/>
  <c r="F57" i="3"/>
  <c r="H44" i="3"/>
  <c r="P51" i="3"/>
  <c r="L55" i="3"/>
  <c r="F49" i="3"/>
  <c r="L54" i="3"/>
  <c r="B42" i="3"/>
  <c r="C43" i="3"/>
  <c r="L43" i="3"/>
  <c r="D44" i="3"/>
  <c r="E45" i="3"/>
  <c r="N45" i="3"/>
  <c r="F46" i="3"/>
  <c r="O46" i="3"/>
  <c r="G47" i="3"/>
  <c r="P47" i="3"/>
  <c r="H48" i="3"/>
  <c r="A49" i="3"/>
  <c r="I49" i="3"/>
  <c r="B50" i="3"/>
  <c r="C51" i="3"/>
  <c r="L51" i="3"/>
  <c r="D52" i="3"/>
  <c r="E53" i="3"/>
  <c r="N53" i="3"/>
  <c r="F54" i="3"/>
  <c r="O54" i="3"/>
  <c r="G55" i="3"/>
  <c r="P55" i="3"/>
  <c r="G57" i="3"/>
  <c r="P57" i="3"/>
  <c r="N43" i="3"/>
  <c r="O44" i="3"/>
  <c r="P45" i="3"/>
  <c r="A47" i="3"/>
  <c r="B48" i="3"/>
  <c r="L49" i="3"/>
  <c r="E51" i="3"/>
  <c r="F52" i="3"/>
  <c r="G53" i="3"/>
  <c r="H54" i="3"/>
  <c r="I55" i="3"/>
  <c r="I57" i="3"/>
  <c r="B55" i="3"/>
  <c r="I45" i="3"/>
  <c r="E49" i="3"/>
  <c r="H52" i="3"/>
  <c r="C57" i="3"/>
  <c r="G50" i="3"/>
  <c r="B53" i="3"/>
  <c r="C42" i="3"/>
  <c r="L42" i="3"/>
  <c r="D43" i="3"/>
  <c r="E44" i="3"/>
  <c r="N44" i="3"/>
  <c r="F45" i="3"/>
  <c r="O45" i="3"/>
  <c r="G46" i="3"/>
  <c r="P46" i="3"/>
  <c r="H47" i="3"/>
  <c r="A48" i="3"/>
  <c r="I48" i="3"/>
  <c r="B49" i="3"/>
  <c r="C50" i="3"/>
  <c r="L50" i="3"/>
  <c r="D51" i="3"/>
  <c r="E52" i="3"/>
  <c r="N52" i="3"/>
  <c r="F53" i="3"/>
  <c r="O53" i="3"/>
  <c r="G54" i="3"/>
  <c r="P54" i="3"/>
  <c r="H55" i="3"/>
  <c r="H57" i="3"/>
  <c r="D42" i="3"/>
  <c r="E43" i="3"/>
  <c r="F44" i="3"/>
  <c r="G45" i="3"/>
  <c r="H46" i="3"/>
  <c r="I47" i="3"/>
  <c r="C49" i="3"/>
  <c r="D50" i="3"/>
  <c r="N51" i="3"/>
  <c r="O52" i="3"/>
  <c r="P53" i="3"/>
  <c r="A55" i="3"/>
  <c r="A57" i="3"/>
  <c r="I54" i="3"/>
  <c r="A45" i="3"/>
  <c r="D48" i="3"/>
  <c r="G51" i="3"/>
  <c r="C55" i="3"/>
  <c r="E48" i="3"/>
  <c r="A52" i="3"/>
  <c r="A39" i="3"/>
  <c r="I39" i="3"/>
  <c r="B40" i="3"/>
  <c r="C41" i="3"/>
  <c r="L41" i="3"/>
  <c r="E41" i="3"/>
  <c r="P41" i="3"/>
  <c r="B41" i="3"/>
  <c r="B39" i="3"/>
  <c r="C40" i="3"/>
  <c r="L40" i="3"/>
  <c r="D41" i="3"/>
  <c r="N41" i="3"/>
  <c r="I41" i="3"/>
  <c r="C39" i="3"/>
  <c r="L39" i="3"/>
  <c r="D40" i="3"/>
  <c r="G41" i="3"/>
  <c r="D39" i="3"/>
  <c r="E40" i="3"/>
  <c r="N40" i="3"/>
  <c r="F41" i="3"/>
  <c r="O41" i="3"/>
  <c r="H39" i="3"/>
  <c r="E39" i="3"/>
  <c r="N39" i="3"/>
  <c r="F40" i="3"/>
  <c r="O40" i="3"/>
  <c r="H41" i="3"/>
  <c r="F39" i="3"/>
  <c r="O39" i="3"/>
  <c r="G40" i="3"/>
  <c r="P40" i="3"/>
  <c r="A40" i="3"/>
  <c r="G39" i="3"/>
  <c r="P39" i="3"/>
  <c r="H40" i="3"/>
  <c r="A41" i="3"/>
  <c r="I40" i="3"/>
  <c r="G56" i="3"/>
  <c r="P56" i="3"/>
  <c r="A58" i="3"/>
  <c r="I58" i="3"/>
  <c r="B59" i="3"/>
  <c r="C60" i="3"/>
  <c r="L60" i="3"/>
  <c r="D61" i="3"/>
  <c r="E62" i="3"/>
  <c r="N62" i="3"/>
  <c r="F63" i="3"/>
  <c r="O63" i="3"/>
  <c r="G64" i="3"/>
  <c r="P64" i="3"/>
  <c r="H65" i="3"/>
  <c r="A66" i="3"/>
  <c r="I66" i="3"/>
  <c r="B67" i="3"/>
  <c r="C68" i="3"/>
  <c r="L68" i="3"/>
  <c r="D69" i="3"/>
  <c r="D68" i="3"/>
  <c r="N69" i="3"/>
  <c r="E67" i="3"/>
  <c r="P69" i="3"/>
  <c r="L64" i="3"/>
  <c r="F67" i="3"/>
  <c r="N56" i="3"/>
  <c r="I60" i="3"/>
  <c r="N64" i="3"/>
  <c r="I68" i="3"/>
  <c r="H56" i="3"/>
  <c r="B58" i="3"/>
  <c r="C59" i="3"/>
  <c r="L59" i="3"/>
  <c r="D60" i="3"/>
  <c r="E61" i="3"/>
  <c r="N61" i="3"/>
  <c r="F62" i="3"/>
  <c r="O62" i="3"/>
  <c r="G63" i="3"/>
  <c r="P63" i="3"/>
  <c r="H64" i="3"/>
  <c r="A65" i="3"/>
  <c r="I65" i="3"/>
  <c r="B66" i="3"/>
  <c r="C67" i="3"/>
  <c r="L67" i="3"/>
  <c r="L65" i="3"/>
  <c r="F68" i="3"/>
  <c r="G68" i="3"/>
  <c r="E56" i="3"/>
  <c r="A60" i="3"/>
  <c r="D63" i="3"/>
  <c r="P66" i="3"/>
  <c r="A56" i="3"/>
  <c r="I56" i="3"/>
  <c r="C58" i="3"/>
  <c r="L58" i="3"/>
  <c r="D59" i="3"/>
  <c r="E60" i="3"/>
  <c r="N60" i="3"/>
  <c r="F61" i="3"/>
  <c r="O61" i="3"/>
  <c r="G62" i="3"/>
  <c r="P62" i="3"/>
  <c r="H63" i="3"/>
  <c r="A64" i="3"/>
  <c r="I64" i="3"/>
  <c r="B65" i="3"/>
  <c r="C66" i="3"/>
  <c r="L66" i="3"/>
  <c r="D67" i="3"/>
  <c r="E68" i="3"/>
  <c r="N68" i="3"/>
  <c r="F69" i="3"/>
  <c r="O69" i="3"/>
  <c r="G61" i="3"/>
  <c r="H62" i="3"/>
  <c r="I63" i="3"/>
  <c r="C65" i="3"/>
  <c r="N67" i="3"/>
  <c r="B63" i="3"/>
  <c r="N66" i="3"/>
  <c r="G58" i="3"/>
  <c r="B61" i="3"/>
  <c r="F65" i="3"/>
  <c r="B69" i="3"/>
  <c r="B56" i="3"/>
  <c r="D58" i="3"/>
  <c r="E59" i="3"/>
  <c r="N59" i="3"/>
  <c r="F60" i="3"/>
  <c r="O60" i="3"/>
  <c r="P61" i="3"/>
  <c r="A63" i="3"/>
  <c r="B64" i="3"/>
  <c r="G69" i="3"/>
  <c r="E66" i="3"/>
  <c r="H69" i="3"/>
  <c r="P58" i="3"/>
  <c r="E64" i="3"/>
  <c r="A68" i="3"/>
  <c r="C56" i="3"/>
  <c r="L56" i="3"/>
  <c r="E58" i="3"/>
  <c r="N58" i="3"/>
  <c r="F59" i="3"/>
  <c r="O59" i="3"/>
  <c r="G60" i="3"/>
  <c r="P60" i="3"/>
  <c r="H61" i="3"/>
  <c r="A62" i="3"/>
  <c r="I62" i="3"/>
  <c r="C64" i="3"/>
  <c r="O67" i="3"/>
  <c r="H59" i="3"/>
  <c r="H67" i="3"/>
  <c r="D56" i="3"/>
  <c r="F58" i="3"/>
  <c r="O58" i="3"/>
  <c r="G59" i="3"/>
  <c r="P59" i="3"/>
  <c r="H60" i="3"/>
  <c r="A61" i="3"/>
  <c r="I61" i="3"/>
  <c r="B62" i="3"/>
  <c r="C63" i="3"/>
  <c r="L63" i="3"/>
  <c r="D64" i="3"/>
  <c r="E65" i="3"/>
  <c r="N65" i="3"/>
  <c r="F66" i="3"/>
  <c r="O66" i="3"/>
  <c r="G67" i="3"/>
  <c r="P67" i="3"/>
  <c r="H68" i="3"/>
  <c r="A69" i="3"/>
  <c r="I69" i="3"/>
  <c r="L62" i="3"/>
  <c r="O65" i="3"/>
  <c r="F56" i="3"/>
  <c r="O56" i="3"/>
  <c r="H58" i="3"/>
  <c r="A59" i="3"/>
  <c r="I59" i="3"/>
  <c r="B60" i="3"/>
  <c r="C61" i="3"/>
  <c r="L61" i="3"/>
  <c r="D62" i="3"/>
  <c r="E63" i="3"/>
  <c r="N63" i="3"/>
  <c r="F64" i="3"/>
  <c r="O64" i="3"/>
  <c r="G65" i="3"/>
  <c r="P65" i="3"/>
  <c r="H66" i="3"/>
  <c r="A67" i="3"/>
  <c r="I67" i="3"/>
  <c r="B68" i="3"/>
  <c r="C69" i="3"/>
  <c r="L69" i="3"/>
  <c r="E69" i="3"/>
  <c r="D66" i="3"/>
  <c r="O68" i="3"/>
  <c r="D65" i="3"/>
  <c r="P68" i="3"/>
  <c r="C62" i="3"/>
  <c r="G66" i="3"/>
  <c r="D6" i="5" l="1"/>
  <c r="E5" i="5"/>
  <c r="D3" i="5"/>
  <c r="E4" i="5"/>
  <c r="D2" i="5"/>
  <c r="E3" i="5"/>
  <c r="D10" i="5"/>
  <c r="E1" i="5"/>
  <c r="D8" i="5"/>
  <c r="D11" i="5"/>
  <c r="D4" i="5"/>
  <c r="D7" i="5"/>
  <c r="E12" i="5"/>
  <c r="E10" i="5"/>
  <c r="E2" i="5"/>
  <c r="E6" i="5"/>
  <c r="D12" i="5"/>
  <c r="E9" i="5"/>
  <c r="E8" i="5"/>
  <c r="D5" i="5"/>
  <c r="D9" i="5"/>
  <c r="E11" i="5"/>
  <c r="D1" i="5"/>
  <c r="E7" i="5"/>
</calcChain>
</file>

<file path=xl/sharedStrings.xml><?xml version="1.0" encoding="utf-8"?>
<sst xmlns="http://schemas.openxmlformats.org/spreadsheetml/2006/main" count="205" uniqueCount="65">
  <si>
    <t>თარიღი</t>
  </si>
  <si>
    <t>ნანა</t>
  </si>
  <si>
    <t>კურცხალია</t>
  </si>
  <si>
    <t>დღე</t>
  </si>
  <si>
    <t>თვე</t>
  </si>
  <si>
    <t>საიდენტიფიკაციო ნომერი (პირადი ნომერი)</t>
  </si>
  <si>
    <t>თანხის მიმღების სახელი/სამართლებრივი ფორმა</t>
  </si>
  <si>
    <t>თანხის მიმღების გვარი/დასახელება</t>
  </si>
  <si>
    <t>მისამართი</t>
  </si>
  <si>
    <t>პირის რეზიდენტობა (ქვეყანა)</t>
  </si>
  <si>
    <t>შემოსავლის მიმღებ პირთა კატეგორია</t>
  </si>
  <si>
    <t>განაცემის სახე</t>
  </si>
  <si>
    <t>განაცემი თანხა (ლარი)</t>
  </si>
  <si>
    <t>შეღავათის ოდენობა</t>
  </si>
  <si>
    <t>გაცემის თარიღი</t>
  </si>
  <si>
    <t>წყაროსთან დასაკავებელი გადასახადის განაკვეთი</t>
  </si>
  <si>
    <t>წყაროსთან დაკავებული გადასახადი (ლარი)</t>
  </si>
  <si>
    <t>სოციალური გადასახადი</t>
  </si>
  <si>
    <t>საერთაშორისო ხელშეკრულების საფუძველზე გათავისუფლებას დაქვემდებარებული გადასახადის თანხა (ლარი)</t>
  </si>
  <si>
    <t>შესამცირებელი საშემოსავლო გადასახადი (ლარი)</t>
  </si>
  <si>
    <t>268</t>
  </si>
  <si>
    <t>20</t>
  </si>
  <si>
    <t>0</t>
  </si>
  <si>
    <t>4</t>
  </si>
  <si>
    <t>1</t>
  </si>
  <si>
    <t>01003003707</t>
  </si>
  <si>
    <t>სახელი</t>
  </si>
  <si>
    <t>გვარი</t>
  </si>
  <si>
    <t>თანხა</t>
  </si>
  <si>
    <t>01008013563</t>
  </si>
  <si>
    <t>ალექსანდრე</t>
  </si>
  <si>
    <t>კილასონია</t>
  </si>
  <si>
    <t>თბილისი, ვაგან მამასახლისოვის ქუჩა, N 7, ბინა 22</t>
  </si>
  <si>
    <t>127.55</t>
  </si>
  <si>
    <t>2.55</t>
  </si>
  <si>
    <t>24.09.2022</t>
  </si>
  <si>
    <t>25</t>
  </si>
  <si>
    <t>თბილისი, მუხიანი მესამე მ/რ, კორპუსი 1</t>
  </si>
  <si>
    <t>01009017149</t>
  </si>
  <si>
    <t>დიანა</t>
  </si>
  <si>
    <t>ლეჟავა</t>
  </si>
  <si>
    <t>თბილისი, ვაჟა-ფშაველას გამზირის III კვარტალი, კორპუსი 22ბ, ბინა 16</t>
  </si>
  <si>
    <t>თამარი</t>
  </si>
  <si>
    <t>ადამია</t>
  </si>
  <si>
    <t>ზურაბი</t>
  </si>
  <si>
    <t>თომაძე</t>
  </si>
  <si>
    <t>01017025072</t>
  </si>
  <si>
    <t>თბილისი გიგა ლორთქიფანიძის ქ. N 13 ფ. 2</t>
  </si>
  <si>
    <t>01017044991</t>
  </si>
  <si>
    <t>თბილისი, ივანე თარხნიშვილის ქუჩა, N 23, ბინა 14</t>
  </si>
  <si>
    <t>მაია</t>
  </si>
  <si>
    <t>არჩვაძე</t>
  </si>
  <si>
    <t>01001015305</t>
  </si>
  <si>
    <t>01030053229</t>
  </si>
  <si>
    <t>გიორგი</t>
  </si>
  <si>
    <t>მელაძე</t>
  </si>
  <si>
    <t>თბილისი, ნიკოლოზ ანთელავას ქუჩა, N 4(ყოფ. პ. იბერის ქ.)</t>
  </si>
  <si>
    <t>01009003935</t>
  </si>
  <si>
    <t>თბილისი</t>
  </si>
  <si>
    <t>საბა</t>
  </si>
  <si>
    <t>ცაგარეიშვილი</t>
  </si>
  <si>
    <t>01001083359</t>
  </si>
  <si>
    <t>დავით</t>
  </si>
  <si>
    <t>სვირავა</t>
  </si>
  <si>
    <t>62003016407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</si>
</sst>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Sylfaen"/>
      <family val="1"/>
    </font>
    <font>
      <sz val="11"/>
      <color theme="1"/>
      <name val="Geo_Times"/>
      <family val="2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Geo_Times"/>
    </font>
    <font>
      <sz val="7"/>
      <color rgb="FF1A332D"/>
      <name val="DejaVu Sans"/>
    </font>
  </fonts>
  <fills count="6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4B4B5"/>
      </left>
      <right style="medium">
        <color rgb="FFA1A3A4"/>
      </right>
      <top style="medium">
        <color rgb="FFB4B4B5"/>
      </top>
      <bottom style="medium">
        <color rgb="FFB4B4B5"/>
      </bottom>
      <diagonal/>
    </border>
    <border>
      <left style="medium">
        <color rgb="FFA1A3A4"/>
      </left>
      <right style="medium">
        <color rgb="FFA1A3A4"/>
      </right>
      <top style="medium">
        <color rgb="FFB4B4B5"/>
      </top>
      <bottom style="medium">
        <color rgb="FFB4B4B5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0" fillId="2" borderId="1" xfId="0" applyFill="1" applyBorder="1"/>
    <xf numFmtId="49" fontId="0" fillId="0" borderId="0" xfId="0" applyNumberFormat="1"/>
    <xf numFmtId="49" fontId="0" fillId="0" borderId="1" xfId="0" applyNumberFormat="1" applyBorder="1"/>
    <xf numFmtId="14" fontId="0" fillId="0" borderId="0" xfId="0" applyNumberFormat="1"/>
    <xf numFmtId="0" fontId="0" fillId="3" borderId="0" xfId="0" applyFill="1"/>
    <xf numFmtId="49" fontId="0" fillId="0" borderId="2" xfId="0" applyNumberFormat="1" applyBorder="1"/>
    <xf numFmtId="49" fontId="4" fillId="0" borderId="0" xfId="0" applyNumberFormat="1" applyFont="1"/>
    <xf numFmtId="2" fontId="5" fillId="0" borderId="0" xfId="0" applyNumberFormat="1" applyFont="1" applyFill="1" applyBorder="1"/>
    <xf numFmtId="164" fontId="5" fillId="0" borderId="0" xfId="0" applyNumberFormat="1" applyFont="1" applyFill="1" applyBorder="1"/>
    <xf numFmtId="49" fontId="0" fillId="0" borderId="0" xfId="0" applyNumberFormat="1" applyFill="1" applyBorder="1"/>
    <xf numFmtId="0" fontId="0" fillId="0" borderId="0" xfId="0" applyFill="1" applyBorder="1"/>
    <xf numFmtId="0" fontId="3" fillId="0" borderId="0" xfId="1" applyFont="1" applyFill="1" applyBorder="1" applyAlignment="1">
      <alignment horizontal="left"/>
    </xf>
    <xf numFmtId="2" fontId="4" fillId="0" borderId="0" xfId="0" applyNumberFormat="1" applyFont="1" applyFill="1" applyBorder="1"/>
    <xf numFmtId="49" fontId="4" fillId="0" borderId="0" xfId="0" applyNumberFormat="1" applyFont="1" applyFill="1" applyBorder="1"/>
    <xf numFmtId="0" fontId="0" fillId="0" borderId="0" xfId="0" applyNumberFormat="1" applyFill="1" applyBorder="1"/>
    <xf numFmtId="0" fontId="4" fillId="0" borderId="0" xfId="0" applyFont="1" applyFill="1" applyBorder="1"/>
    <xf numFmtId="14" fontId="0" fillId="0" borderId="0" xfId="0" applyNumberFormat="1" applyFill="1" applyBorder="1"/>
    <xf numFmtId="2" fontId="0" fillId="0" borderId="0" xfId="0" applyNumberFormat="1" applyFill="1" applyBorder="1"/>
    <xf numFmtId="49" fontId="6" fillId="0" borderId="0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/>
    <xf numFmtId="0" fontId="7" fillId="0" borderId="0" xfId="0" applyFont="1" applyFill="1" applyBorder="1"/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0" fillId="2" borderId="2" xfId="0" applyFill="1" applyBorder="1"/>
    <xf numFmtId="2" fontId="5" fillId="0" borderId="0" xfId="0" applyNumberFormat="1" applyFont="1"/>
    <xf numFmtId="0" fontId="6" fillId="0" borderId="0" xfId="0" quotePrefix="1" applyFont="1"/>
    <xf numFmtId="164" fontId="0" fillId="5" borderId="0" xfId="0" applyNumberFormat="1" applyFill="1"/>
    <xf numFmtId="0" fontId="0" fillId="5" borderId="0" xfId="0" applyFill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activeCell="I10" sqref="I10"/>
    </sheetView>
  </sheetViews>
  <sheetFormatPr defaultColWidth="8.88671875" defaultRowHeight="14.4"/>
  <cols>
    <col min="1" max="2" width="8.88671875" style="11"/>
    <col min="3" max="3" width="10.6640625" style="11" bestFit="1" customWidth="1"/>
    <col min="4" max="4" width="15.33203125" style="11" bestFit="1" customWidth="1"/>
    <col min="5" max="5" width="16.44140625" style="11" bestFit="1" customWidth="1"/>
    <col min="6" max="6" width="12.33203125" style="11" bestFit="1" customWidth="1"/>
    <col min="7" max="7" width="8.88671875" style="11"/>
    <col min="8" max="8" width="10.33203125" customWidth="1"/>
    <col min="9" max="9" width="10.33203125" style="18" customWidth="1"/>
    <col min="10" max="10" width="10.33203125" style="11" customWidth="1"/>
    <col min="11" max="11" width="10.33203125" customWidth="1"/>
    <col min="12" max="12" width="10.5546875" style="11" bestFit="1" customWidth="1"/>
    <col min="13" max="13" width="14.88671875" style="11" customWidth="1"/>
    <col min="14" max="14" width="8.88671875" style="11"/>
    <col min="15" max="16" width="10.5546875" style="11" bestFit="1" customWidth="1"/>
    <col min="17" max="16384" width="8.88671875" style="11"/>
  </cols>
  <sheetData>
    <row r="1" spans="1:14">
      <c r="A1" s="11" t="s">
        <v>3</v>
      </c>
      <c r="B1" s="11" t="s">
        <v>4</v>
      </c>
      <c r="C1" s="11" t="s">
        <v>0</v>
      </c>
      <c r="D1" s="11" t="s">
        <v>26</v>
      </c>
      <c r="E1" s="11" t="s">
        <v>27</v>
      </c>
      <c r="F1" s="12" t="s">
        <v>28</v>
      </c>
      <c r="I1" s="11"/>
    </row>
    <row r="2" spans="1:14">
      <c r="C2" s="27">
        <v>46216</v>
      </c>
      <c r="D2" s="28" t="s">
        <v>30</v>
      </c>
      <c r="E2" s="11" t="s">
        <v>40</v>
      </c>
      <c r="F2" s="28">
        <v>125</v>
      </c>
      <c r="G2" s="11">
        <f>F2/0.98/0.8</f>
        <v>159.43877551020407</v>
      </c>
      <c r="I2" s="15"/>
      <c r="J2" s="15"/>
      <c r="L2" s="19"/>
      <c r="M2" s="15"/>
      <c r="N2" s="15"/>
    </row>
    <row r="3" spans="1:14">
      <c r="C3" s="27">
        <v>46217</v>
      </c>
      <c r="D3" s="28" t="s">
        <v>44</v>
      </c>
      <c r="E3" s="11" t="s">
        <v>45</v>
      </c>
      <c r="F3" s="28">
        <v>1000</v>
      </c>
      <c r="G3" s="11">
        <f t="shared" ref="G3:G8" si="0">F3/0.98/0.8</f>
        <v>1275.5102040816325</v>
      </c>
      <c r="H3" s="15"/>
      <c r="I3" s="15"/>
      <c r="J3" s="25"/>
      <c r="K3" s="11"/>
    </row>
    <row r="4" spans="1:14">
      <c r="C4" s="27">
        <v>46222</v>
      </c>
      <c r="D4" s="28" t="s">
        <v>30</v>
      </c>
      <c r="E4" s="11" t="s">
        <v>40</v>
      </c>
      <c r="F4" s="28">
        <v>225</v>
      </c>
      <c r="G4" s="11">
        <f t="shared" si="0"/>
        <v>286.98979591836735</v>
      </c>
      <c r="H4" s="14"/>
      <c r="I4" s="15"/>
      <c r="J4" s="25"/>
      <c r="K4" s="11"/>
    </row>
    <row r="5" spans="1:14">
      <c r="C5" s="27">
        <v>46225</v>
      </c>
      <c r="D5" s="28" t="s">
        <v>62</v>
      </c>
      <c r="E5" s="11" t="s">
        <v>63</v>
      </c>
      <c r="F5" s="28">
        <v>1200</v>
      </c>
      <c r="G5" s="11">
        <f t="shared" si="0"/>
        <v>1530.6122448979593</v>
      </c>
      <c r="H5" s="15"/>
      <c r="I5" s="15"/>
      <c r="J5" s="25"/>
      <c r="K5" s="11"/>
    </row>
    <row r="6" spans="1:14">
      <c r="C6" s="27">
        <v>46230</v>
      </c>
      <c r="D6" s="28" t="s">
        <v>30</v>
      </c>
      <c r="E6" s="11" t="s">
        <v>40</v>
      </c>
      <c r="F6" s="28">
        <v>225</v>
      </c>
      <c r="G6" s="11">
        <f t="shared" si="0"/>
        <v>286.98979591836735</v>
      </c>
      <c r="I6" s="15"/>
      <c r="J6" s="21"/>
      <c r="K6" s="11"/>
    </row>
    <row r="7" spans="1:14">
      <c r="C7" s="27">
        <v>46230</v>
      </c>
      <c r="D7" s="28" t="s">
        <v>1</v>
      </c>
      <c r="E7" s="11" t="s">
        <v>2</v>
      </c>
      <c r="F7" s="28">
        <v>1200</v>
      </c>
      <c r="G7" s="11">
        <f t="shared" si="0"/>
        <v>1530.6122448979593</v>
      </c>
      <c r="I7" s="15"/>
      <c r="J7" s="15"/>
      <c r="K7" s="11"/>
    </row>
    <row r="8" spans="1:14">
      <c r="C8" s="27">
        <v>46230</v>
      </c>
      <c r="D8" s="28" t="s">
        <v>44</v>
      </c>
      <c r="E8" s="11" t="s">
        <v>45</v>
      </c>
      <c r="F8" s="28">
        <v>1000</v>
      </c>
      <c r="G8" s="11">
        <f t="shared" si="0"/>
        <v>1275.5102040816325</v>
      </c>
      <c r="I8" s="15"/>
      <c r="J8" s="15"/>
      <c r="K8" s="11"/>
    </row>
    <row r="9" spans="1:14">
      <c r="C9" s="27"/>
      <c r="D9" s="28"/>
      <c r="E9" s="20"/>
      <c r="F9" s="28"/>
      <c r="G9" s="11">
        <f>SUM(G2:G8)</f>
        <v>6345.6632653061224</v>
      </c>
      <c r="I9" s="14"/>
      <c r="J9" s="15"/>
      <c r="K9" s="11"/>
    </row>
    <row r="10" spans="1:14">
      <c r="C10" s="9"/>
      <c r="D10" s="15"/>
      <c r="E10" s="15"/>
      <c r="F10" s="8"/>
      <c r="I10" s="15"/>
      <c r="J10" s="15"/>
      <c r="K10" s="11"/>
    </row>
    <row r="11" spans="1:14">
      <c r="C11" s="9"/>
      <c r="D11" s="15"/>
      <c r="E11" s="15"/>
      <c r="F11" s="8"/>
      <c r="I11" s="15"/>
      <c r="J11" s="15"/>
      <c r="K11" s="11"/>
    </row>
    <row r="12" spans="1:14">
      <c r="C12" s="9"/>
      <c r="D12" s="15"/>
      <c r="E12" s="15"/>
      <c r="F12" s="8"/>
      <c r="G12" s="18"/>
      <c r="I12" s="14"/>
      <c r="J12" s="15"/>
      <c r="K12" s="11"/>
    </row>
    <row r="13" spans="1:14">
      <c r="C13" s="9"/>
      <c r="D13" s="15"/>
      <c r="E13" s="15"/>
      <c r="F13" s="8"/>
      <c r="I13" s="15"/>
      <c r="J13" s="15"/>
      <c r="K13" s="11"/>
    </row>
    <row r="14" spans="1:14">
      <c r="C14" s="9"/>
      <c r="D14" s="14"/>
      <c r="E14" s="14"/>
      <c r="F14" s="8"/>
      <c r="I14" s="10"/>
      <c r="J14" s="16"/>
      <c r="K14" s="11"/>
    </row>
    <row r="15" spans="1:14">
      <c r="C15" s="17"/>
      <c r="D15" s="10"/>
      <c r="E15" s="10"/>
      <c r="F15" s="16"/>
      <c r="I15" s="10"/>
      <c r="J15" s="16"/>
      <c r="K15" s="11"/>
    </row>
    <row r="16" spans="1:14">
      <c r="C16" s="17"/>
      <c r="D16" s="10"/>
      <c r="E16" s="10"/>
      <c r="F16" s="16"/>
      <c r="I16" s="10"/>
      <c r="J16" s="16"/>
      <c r="K16" s="11"/>
    </row>
    <row r="17" spans="3:16">
      <c r="C17" s="17"/>
      <c r="D17" s="10"/>
      <c r="E17" s="10"/>
      <c r="F17" s="16"/>
      <c r="I17" s="13"/>
      <c r="J17" s="14"/>
      <c r="K17" s="11"/>
    </row>
    <row r="18" spans="3:16">
      <c r="C18" s="17"/>
      <c r="D18" s="10"/>
      <c r="E18" s="10"/>
      <c r="F18" s="16"/>
      <c r="I18" s="13"/>
      <c r="J18" s="14"/>
      <c r="K18" s="11"/>
    </row>
    <row r="19" spans="3:16">
      <c r="C19" s="17"/>
      <c r="D19" s="10"/>
      <c r="E19" s="10"/>
      <c r="F19" s="16"/>
      <c r="I19" s="13"/>
      <c r="J19" s="14"/>
      <c r="K19" s="16"/>
      <c r="L19" s="17"/>
    </row>
    <row r="20" spans="3:16">
      <c r="C20" s="17"/>
      <c r="D20" s="10"/>
      <c r="E20" s="10"/>
      <c r="F20" s="16"/>
      <c r="I20" s="13"/>
      <c r="J20" s="14"/>
      <c r="K20" s="16"/>
      <c r="L20" s="17"/>
    </row>
    <row r="21" spans="3:16">
      <c r="C21" s="17"/>
      <c r="D21" s="10"/>
      <c r="E21" s="10"/>
      <c r="F21" s="16"/>
      <c r="I21" s="13"/>
      <c r="J21" s="14"/>
      <c r="K21" s="16"/>
      <c r="L21" s="17"/>
    </row>
    <row r="22" spans="3:16">
      <c r="C22" s="17"/>
      <c r="D22" s="10"/>
      <c r="E22" s="10"/>
      <c r="F22" s="16"/>
      <c r="I22" s="13"/>
      <c r="J22" s="14"/>
      <c r="K22" s="16"/>
      <c r="L22" s="17"/>
    </row>
    <row r="23" spans="3:16">
      <c r="C23" s="17"/>
      <c r="D23" s="10"/>
      <c r="E23" s="10"/>
      <c r="F23" s="16"/>
      <c r="I23" s="13"/>
      <c r="J23" s="14"/>
      <c r="K23" s="16"/>
      <c r="L23" s="17"/>
    </row>
    <row r="24" spans="3:16">
      <c r="C24" s="17"/>
      <c r="D24" s="10"/>
      <c r="E24" s="10"/>
      <c r="F24" s="16"/>
      <c r="I24" s="13"/>
      <c r="J24" s="14"/>
      <c r="K24" s="11"/>
      <c r="L24" s="17"/>
    </row>
    <row r="25" spans="3:16">
      <c r="C25" s="17"/>
      <c r="D25" s="10"/>
      <c r="E25" s="10"/>
      <c r="F25" s="16"/>
      <c r="I25" s="13"/>
      <c r="J25" s="14"/>
      <c r="M25" s="10"/>
      <c r="N25" s="10"/>
      <c r="P25" s="17"/>
    </row>
    <row r="26" spans="3:16">
      <c r="C26" s="17"/>
      <c r="D26" s="10"/>
      <c r="E26" s="10"/>
      <c r="F26" s="16"/>
      <c r="M26" s="14"/>
      <c r="N26" s="10"/>
      <c r="P26" s="17"/>
    </row>
    <row r="27" spans="3:16">
      <c r="C27" s="17"/>
      <c r="D27" s="10"/>
      <c r="E27" s="10"/>
      <c r="F27" s="16"/>
      <c r="L27" s="10"/>
      <c r="M27" s="14"/>
      <c r="P27" s="17"/>
    </row>
    <row r="28" spans="3:16">
      <c r="C28" s="17"/>
      <c r="D28" s="10"/>
      <c r="E28" s="10"/>
      <c r="F28" s="16"/>
      <c r="L28" s="10"/>
      <c r="M28" s="14"/>
      <c r="P28" s="17"/>
    </row>
    <row r="29" spans="3:16">
      <c r="C29" s="17"/>
      <c r="D29" s="10"/>
      <c r="E29" s="10"/>
      <c r="F29" s="16"/>
      <c r="L29" s="10"/>
      <c r="M29" s="14"/>
      <c r="P29" s="17"/>
    </row>
    <row r="30" spans="3:16">
      <c r="C30" s="17"/>
      <c r="D30" s="10"/>
      <c r="E30" s="10"/>
      <c r="F30" s="16"/>
      <c r="L30" s="10"/>
      <c r="M30" s="14"/>
      <c r="P30" s="17"/>
    </row>
    <row r="31" spans="3:16">
      <c r="C31" s="17"/>
      <c r="D31" s="10"/>
      <c r="E31" s="10"/>
      <c r="F31" s="16"/>
      <c r="L31" s="10"/>
      <c r="M31" s="14"/>
      <c r="P31" s="17"/>
    </row>
    <row r="32" spans="3:16">
      <c r="C32" s="17"/>
      <c r="D32" s="10"/>
      <c r="E32" s="10"/>
      <c r="F32" s="16"/>
      <c r="L32" s="10"/>
      <c r="M32" s="14"/>
      <c r="P32" s="17"/>
    </row>
    <row r="33" spans="3:16">
      <c r="C33" s="17"/>
      <c r="D33" s="10"/>
      <c r="E33" s="10"/>
      <c r="F33" s="16"/>
      <c r="L33" s="10"/>
      <c r="M33" s="14"/>
      <c r="P33" s="17"/>
    </row>
    <row r="34" spans="3:16">
      <c r="C34" s="17"/>
      <c r="D34" s="10"/>
      <c r="E34" s="10"/>
      <c r="F34" s="16"/>
      <c r="L34" s="10"/>
      <c r="M34" s="14"/>
      <c r="P34" s="17"/>
    </row>
    <row r="35" spans="3:16">
      <c r="C35" s="17"/>
      <c r="D35" s="10"/>
      <c r="E35" s="10"/>
      <c r="F35" s="16"/>
      <c r="L35" s="10"/>
      <c r="M35" s="14"/>
      <c r="P35" s="17"/>
    </row>
    <row r="36" spans="3:16">
      <c r="C36" s="17"/>
      <c r="D36" s="10"/>
      <c r="E36" s="10"/>
      <c r="F36" s="16"/>
      <c r="L36" s="10"/>
      <c r="M36" s="14"/>
      <c r="P36" s="17"/>
    </row>
    <row r="37" spans="3:16">
      <c r="C37" s="17"/>
      <c r="D37" s="10"/>
      <c r="E37" s="10"/>
      <c r="F37" s="16"/>
      <c r="L37" s="10"/>
      <c r="M37" s="14"/>
      <c r="P37" s="17"/>
    </row>
    <row r="38" spans="3:16">
      <c r="C38" s="17"/>
      <c r="D38" s="10"/>
      <c r="E38" s="10"/>
      <c r="F38" s="16"/>
      <c r="L38" s="10"/>
      <c r="M38" s="14"/>
      <c r="P38" s="17"/>
    </row>
    <row r="39" spans="3:16">
      <c r="C39" s="17"/>
      <c r="D39" s="10"/>
      <c r="E39" s="10"/>
      <c r="F39" s="16"/>
      <c r="L39" s="10"/>
      <c r="M39" s="14"/>
      <c r="P39" s="17"/>
    </row>
    <row r="40" spans="3:16">
      <c r="C40" s="17"/>
      <c r="D40" s="10"/>
      <c r="E40" s="10"/>
      <c r="F40" s="16"/>
      <c r="L40" s="10"/>
      <c r="M40" s="14"/>
      <c r="P40" s="17"/>
    </row>
    <row r="41" spans="3:16">
      <c r="C41" s="17"/>
      <c r="D41" s="10"/>
      <c r="E41" s="10"/>
      <c r="F41" s="16"/>
      <c r="L41" s="10"/>
      <c r="M41" s="14"/>
      <c r="P41" s="17"/>
    </row>
    <row r="42" spans="3:16">
      <c r="C42" s="17"/>
      <c r="D42" s="10"/>
      <c r="E42" s="10"/>
      <c r="F42" s="16"/>
      <c r="L42" s="10"/>
      <c r="M42" s="14"/>
      <c r="P42" s="17"/>
    </row>
    <row r="43" spans="3:16">
      <c r="C43" s="17"/>
      <c r="D43" s="10"/>
      <c r="E43" s="10"/>
      <c r="F43" s="16"/>
      <c r="L43" s="10"/>
      <c r="M43" s="14"/>
      <c r="P43" s="17"/>
    </row>
    <row r="44" spans="3:16">
      <c r="C44" s="17"/>
      <c r="D44" s="10"/>
      <c r="E44" s="10"/>
      <c r="F44" s="16"/>
      <c r="L44" s="10"/>
      <c r="M44" s="14"/>
      <c r="P44" s="17"/>
    </row>
    <row r="45" spans="3:16">
      <c r="C45" s="17"/>
      <c r="D45" s="10"/>
      <c r="E45" s="10"/>
      <c r="F45" s="16"/>
      <c r="L45" s="10"/>
      <c r="M45" s="14"/>
      <c r="P45" s="17"/>
    </row>
    <row r="46" spans="3:16">
      <c r="C46" s="17"/>
      <c r="D46" s="10"/>
      <c r="E46" s="10"/>
      <c r="F46" s="16"/>
      <c r="L46" s="10"/>
      <c r="M46" s="14"/>
      <c r="P46" s="17"/>
    </row>
    <row r="47" spans="3:16">
      <c r="C47" s="17"/>
      <c r="D47" s="10"/>
      <c r="E47" s="10"/>
      <c r="F47" s="16"/>
      <c r="L47" s="10"/>
      <c r="M47" s="14"/>
      <c r="P47" s="17"/>
    </row>
    <row r="48" spans="3:16">
      <c r="C48" s="17"/>
      <c r="D48" s="10"/>
      <c r="E48" s="10"/>
      <c r="F48" s="16"/>
      <c r="L48" s="10"/>
      <c r="M48" s="14"/>
      <c r="P48" s="17"/>
    </row>
    <row r="49" spans="3:16">
      <c r="C49" s="17"/>
      <c r="D49" s="10"/>
      <c r="E49" s="10"/>
      <c r="F49" s="16"/>
      <c r="L49" s="10"/>
      <c r="M49" s="15"/>
      <c r="P49" s="17"/>
    </row>
    <row r="50" spans="3:16">
      <c r="C50" s="17"/>
      <c r="D50" s="10"/>
      <c r="E50" s="10"/>
      <c r="F50" s="16"/>
    </row>
    <row r="51" spans="3:16">
      <c r="C51" s="17"/>
      <c r="D51" s="10"/>
      <c r="E51" s="10"/>
      <c r="F51" s="16"/>
    </row>
    <row r="52" spans="3:16">
      <c r="C52" s="17"/>
      <c r="D52" s="10"/>
      <c r="E52" s="10"/>
      <c r="F52" s="16"/>
    </row>
    <row r="53" spans="3:16">
      <c r="C53" s="17"/>
      <c r="D53" s="10"/>
      <c r="E53" s="10"/>
      <c r="F53" s="16"/>
    </row>
    <row r="54" spans="3:16">
      <c r="C54" s="17"/>
      <c r="D54" s="10"/>
      <c r="E54" s="10"/>
      <c r="F54" s="16"/>
    </row>
    <row r="55" spans="3:16">
      <c r="C55" s="17"/>
      <c r="D55" s="10"/>
      <c r="E55" s="10"/>
      <c r="F55" s="16"/>
    </row>
    <row r="56" spans="3:16">
      <c r="C56" s="17"/>
      <c r="D56" s="10"/>
      <c r="E56" s="10"/>
      <c r="F56" s="16"/>
    </row>
    <row r="57" spans="3:16">
      <c r="C57" s="17"/>
      <c r="D57" s="10"/>
      <c r="E57" s="10"/>
      <c r="F57" s="16"/>
    </row>
    <row r="58" spans="3:16">
      <c r="C58" s="17"/>
    </row>
    <row r="59" spans="3:16">
      <c r="C59" s="17"/>
    </row>
    <row r="60" spans="3:16">
      <c r="C60" s="17"/>
    </row>
    <row r="61" spans="3:16">
      <c r="C61" s="17"/>
    </row>
    <row r="62" spans="3:16">
      <c r="C62" s="17"/>
    </row>
    <row r="63" spans="3:16">
      <c r="C63" s="17"/>
    </row>
    <row r="64" spans="3:16">
      <c r="C64" s="17"/>
    </row>
    <row r="65" spans="3:3">
      <c r="C65" s="17"/>
    </row>
    <row r="66" spans="3:3">
      <c r="C66" s="17"/>
    </row>
    <row r="67" spans="3:3">
      <c r="C67" s="17"/>
    </row>
    <row r="68" spans="3:3">
      <c r="C68" s="17"/>
    </row>
    <row r="69" spans="3:3">
      <c r="C69" s="17"/>
    </row>
    <row r="70" spans="3:3">
      <c r="C70" s="17"/>
    </row>
    <row r="71" spans="3:3">
      <c r="C71" s="17"/>
    </row>
    <row r="72" spans="3:3">
      <c r="C72" s="17"/>
    </row>
    <row r="73" spans="3:3">
      <c r="C73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workbookViewId="0">
      <selection activeCell="E19" sqref="E19"/>
    </sheetView>
  </sheetViews>
  <sheetFormatPr defaultRowHeight="14.4"/>
  <cols>
    <col min="2" max="2" width="14.5546875" customWidth="1"/>
    <col min="3" max="3" width="12" customWidth="1"/>
  </cols>
  <sheetData>
    <row r="1" spans="1:16" s="2" customFormat="1" ht="15" customHeight="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s="2" customFormat="1" ht="15" customHeight="1">
      <c r="A2" t="str">
        <f>CONCATENATE(C2,D2)</f>
        <v>ალექსანდრეკილასონია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20</v>
      </c>
      <c r="G2" s="6" t="s">
        <v>23</v>
      </c>
      <c r="H2" s="6" t="s">
        <v>24</v>
      </c>
      <c r="I2" s="6" t="s">
        <v>33</v>
      </c>
      <c r="J2" s="6" t="s">
        <v>34</v>
      </c>
      <c r="K2" s="6" t="s">
        <v>35</v>
      </c>
      <c r="L2" s="6" t="s">
        <v>21</v>
      </c>
      <c r="M2" s="6" t="s">
        <v>36</v>
      </c>
      <c r="N2" s="6" t="s">
        <v>22</v>
      </c>
      <c r="O2" s="6" t="s">
        <v>22</v>
      </c>
      <c r="P2" s="6" t="s">
        <v>22</v>
      </c>
    </row>
    <row r="3" spans="1:16" s="2" customFormat="1" ht="15" customHeight="1">
      <c r="A3" t="str">
        <f t="shared" ref="A3:A12" si="0">CONCATENATE(C3,D3)</f>
        <v>ნანაკურცხალია</v>
      </c>
      <c r="B3" s="6" t="s">
        <v>25</v>
      </c>
      <c r="C3" s="6" t="s">
        <v>1</v>
      </c>
      <c r="D3" s="6" t="s">
        <v>2</v>
      </c>
      <c r="E3" s="6" t="s">
        <v>37</v>
      </c>
      <c r="F3" s="6" t="s">
        <v>20</v>
      </c>
      <c r="G3" s="6" t="s">
        <v>23</v>
      </c>
      <c r="H3" s="6" t="s">
        <v>24</v>
      </c>
      <c r="I3" s="6" t="s">
        <v>33</v>
      </c>
      <c r="J3" s="6" t="s">
        <v>34</v>
      </c>
      <c r="K3" s="6" t="s">
        <v>35</v>
      </c>
      <c r="L3" s="6" t="s">
        <v>21</v>
      </c>
      <c r="M3" s="6" t="s">
        <v>36</v>
      </c>
      <c r="N3" s="6" t="s">
        <v>22</v>
      </c>
      <c r="O3" s="6" t="s">
        <v>22</v>
      </c>
      <c r="P3" s="6" t="s">
        <v>22</v>
      </c>
    </row>
    <row r="4" spans="1:16" s="2" customFormat="1" ht="15" customHeight="1">
      <c r="A4" t="str">
        <f t="shared" si="0"/>
        <v>დიანალეჟავა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20</v>
      </c>
      <c r="G4" s="6" t="s">
        <v>23</v>
      </c>
      <c r="H4" s="6" t="s">
        <v>24</v>
      </c>
      <c r="I4" s="6" t="s">
        <v>33</v>
      </c>
      <c r="J4" s="6" t="s">
        <v>34</v>
      </c>
      <c r="K4" s="6" t="s">
        <v>35</v>
      </c>
      <c r="L4" s="6" t="s">
        <v>21</v>
      </c>
      <c r="M4" s="6" t="s">
        <v>36</v>
      </c>
      <c r="N4" s="6" t="s">
        <v>22</v>
      </c>
      <c r="O4" s="6" t="s">
        <v>22</v>
      </c>
      <c r="P4" s="6" t="s">
        <v>22</v>
      </c>
    </row>
    <row r="5" spans="1:16" s="2" customFormat="1" ht="15" customHeight="1">
      <c r="A5" t="str">
        <f t="shared" si="0"/>
        <v>თამარიადამია</v>
      </c>
      <c r="B5" s="3" t="s">
        <v>48</v>
      </c>
      <c r="C5" s="3" t="s">
        <v>42</v>
      </c>
      <c r="D5" s="3" t="s">
        <v>43</v>
      </c>
      <c r="E5" s="3" t="s">
        <v>49</v>
      </c>
      <c r="F5" s="6" t="s">
        <v>20</v>
      </c>
      <c r="G5" s="6" t="s">
        <v>23</v>
      </c>
      <c r="H5" s="6" t="s">
        <v>24</v>
      </c>
      <c r="I5" s="6" t="s">
        <v>33</v>
      </c>
      <c r="J5" s="6" t="s">
        <v>34</v>
      </c>
      <c r="K5" s="6" t="s">
        <v>35</v>
      </c>
      <c r="L5" s="6" t="s">
        <v>21</v>
      </c>
      <c r="M5" s="6" t="s">
        <v>36</v>
      </c>
      <c r="N5" s="6" t="s">
        <v>22</v>
      </c>
      <c r="O5" s="6" t="s">
        <v>22</v>
      </c>
      <c r="P5" s="6" t="s">
        <v>22</v>
      </c>
    </row>
    <row r="6" spans="1:16" s="2" customFormat="1" ht="15" customHeight="1">
      <c r="A6" t="str">
        <f t="shared" si="0"/>
        <v>ზურაბითომაძე</v>
      </c>
      <c r="B6" s="3" t="s">
        <v>46</v>
      </c>
      <c r="C6" s="3" t="s">
        <v>44</v>
      </c>
      <c r="D6" s="3" t="s">
        <v>45</v>
      </c>
      <c r="E6" s="3" t="s">
        <v>47</v>
      </c>
      <c r="F6" s="6" t="s">
        <v>20</v>
      </c>
      <c r="G6" s="6" t="s">
        <v>23</v>
      </c>
      <c r="H6" s="6" t="s">
        <v>24</v>
      </c>
      <c r="I6" s="6" t="s">
        <v>33</v>
      </c>
      <c r="J6" s="6" t="s">
        <v>34</v>
      </c>
      <c r="K6" s="6" t="s">
        <v>35</v>
      </c>
      <c r="L6" s="6" t="s">
        <v>21</v>
      </c>
      <c r="M6" s="6" t="s">
        <v>36</v>
      </c>
      <c r="N6" s="6" t="s">
        <v>22</v>
      </c>
      <c r="O6" s="6" t="s">
        <v>22</v>
      </c>
      <c r="P6" s="6" t="s">
        <v>22</v>
      </c>
    </row>
    <row r="7" spans="1:16" s="2" customFormat="1" ht="15" customHeight="1">
      <c r="A7" t="str">
        <f t="shared" si="0"/>
        <v>მაიაარჩვაძე</v>
      </c>
      <c r="B7" s="3" t="s">
        <v>52</v>
      </c>
      <c r="C7" s="3" t="s">
        <v>50</v>
      </c>
      <c r="D7" s="3" t="s">
        <v>51</v>
      </c>
      <c r="E7" s="3" t="s">
        <v>47</v>
      </c>
      <c r="F7" s="6" t="s">
        <v>20</v>
      </c>
      <c r="G7" s="6" t="s">
        <v>23</v>
      </c>
      <c r="H7" s="6" t="s">
        <v>24</v>
      </c>
      <c r="I7" s="6" t="s">
        <v>33</v>
      </c>
      <c r="J7" s="6" t="s">
        <v>34</v>
      </c>
      <c r="K7" s="6" t="s">
        <v>35</v>
      </c>
      <c r="L7" s="6" t="s">
        <v>21</v>
      </c>
      <c r="M7" s="6" t="s">
        <v>36</v>
      </c>
      <c r="N7" s="6" t="s">
        <v>22</v>
      </c>
      <c r="O7" s="6" t="s">
        <v>22</v>
      </c>
      <c r="P7" s="6" t="s">
        <v>22</v>
      </c>
    </row>
    <row r="8" spans="1:16" s="2" customFormat="1" ht="15" customHeight="1" thickBot="1">
      <c r="A8" t="str">
        <f t="shared" si="0"/>
        <v>გიორგიმელაძე</v>
      </c>
      <c r="B8" s="3" t="s">
        <v>53</v>
      </c>
      <c r="C8" s="9" t="s">
        <v>54</v>
      </c>
      <c r="D8" s="7" t="s">
        <v>55</v>
      </c>
      <c r="E8" s="3" t="s">
        <v>56</v>
      </c>
      <c r="F8" s="6" t="s">
        <v>20</v>
      </c>
      <c r="G8" s="6" t="s">
        <v>23</v>
      </c>
      <c r="H8" s="6" t="s">
        <v>24</v>
      </c>
      <c r="I8" s="6" t="s">
        <v>33</v>
      </c>
      <c r="J8" s="6" t="s">
        <v>34</v>
      </c>
      <c r="K8" s="6" t="s">
        <v>35</v>
      </c>
      <c r="L8" s="6" t="s">
        <v>21</v>
      </c>
      <c r="M8" s="6" t="s">
        <v>36</v>
      </c>
      <c r="N8" s="6" t="s">
        <v>22</v>
      </c>
      <c r="O8" s="6" t="s">
        <v>22</v>
      </c>
      <c r="P8" s="6" t="s">
        <v>22</v>
      </c>
    </row>
    <row r="9" spans="1:16" s="2" customFormat="1" ht="15" customHeight="1" thickBot="1">
      <c r="A9" t="str">
        <f t="shared" si="0"/>
        <v>ალექსანდრელეჟავა</v>
      </c>
      <c r="B9" s="3" t="s">
        <v>57</v>
      </c>
      <c r="C9" s="22" t="s">
        <v>30</v>
      </c>
      <c r="D9" s="23" t="s">
        <v>40</v>
      </c>
      <c r="E9" s="3" t="s">
        <v>58</v>
      </c>
      <c r="F9" s="6" t="s">
        <v>20</v>
      </c>
      <c r="G9" s="6" t="s">
        <v>23</v>
      </c>
      <c r="H9" s="6" t="s">
        <v>24</v>
      </c>
      <c r="I9" s="6" t="s">
        <v>33</v>
      </c>
      <c r="J9" s="6" t="s">
        <v>34</v>
      </c>
      <c r="K9" s="6" t="s">
        <v>35</v>
      </c>
      <c r="L9" s="6" t="s">
        <v>21</v>
      </c>
      <c r="M9" s="6" t="s">
        <v>36</v>
      </c>
      <c r="N9" s="6" t="s">
        <v>22</v>
      </c>
      <c r="O9" s="6" t="s">
        <v>22</v>
      </c>
      <c r="P9" s="6" t="s">
        <v>22</v>
      </c>
    </row>
    <row r="10" spans="1:16" s="2" customFormat="1" ht="15" customHeight="1">
      <c r="A10" t="str">
        <f t="shared" si="0"/>
        <v>საბაცაგარეიშვილი</v>
      </c>
      <c r="B10" s="26" t="s">
        <v>61</v>
      </c>
      <c r="C10" s="3" t="s">
        <v>59</v>
      </c>
      <c r="D10" s="3" t="s">
        <v>60</v>
      </c>
      <c r="E10" s="3" t="s">
        <v>58</v>
      </c>
      <c r="F10" s="6" t="s">
        <v>20</v>
      </c>
      <c r="G10" s="6" t="s">
        <v>23</v>
      </c>
      <c r="H10" s="6" t="s">
        <v>24</v>
      </c>
      <c r="I10" s="6" t="s">
        <v>33</v>
      </c>
      <c r="J10" s="6" t="s">
        <v>34</v>
      </c>
      <c r="K10" s="6" t="s">
        <v>35</v>
      </c>
      <c r="L10" s="6" t="s">
        <v>21</v>
      </c>
      <c r="M10" s="6" t="s">
        <v>36</v>
      </c>
      <c r="N10" s="6" t="s">
        <v>22</v>
      </c>
      <c r="O10" s="6" t="s">
        <v>22</v>
      </c>
      <c r="P10" s="6" t="s">
        <v>22</v>
      </c>
    </row>
    <row r="11" spans="1:16" s="2" customFormat="1" ht="15" customHeight="1">
      <c r="A11" t="str">
        <f t="shared" si="0"/>
        <v>დავითსვირავა</v>
      </c>
      <c r="B11" s="3" t="s">
        <v>64</v>
      </c>
      <c r="C11" s="3" t="s">
        <v>62</v>
      </c>
      <c r="D11" s="3" t="s">
        <v>63</v>
      </c>
      <c r="E11" s="3" t="s">
        <v>58</v>
      </c>
      <c r="F11" s="6" t="s">
        <v>20</v>
      </c>
      <c r="G11" s="6" t="s">
        <v>23</v>
      </c>
      <c r="H11" s="6" t="s">
        <v>24</v>
      </c>
      <c r="I11" s="6" t="s">
        <v>33</v>
      </c>
      <c r="J11" s="6" t="s">
        <v>34</v>
      </c>
      <c r="K11" s="6" t="s">
        <v>35</v>
      </c>
      <c r="L11" s="6" t="s">
        <v>21</v>
      </c>
      <c r="M11" s="6" t="s">
        <v>36</v>
      </c>
      <c r="N11" s="6" t="s">
        <v>22</v>
      </c>
      <c r="O11" s="6" t="s">
        <v>22</v>
      </c>
      <c r="P11" s="6" t="s">
        <v>22</v>
      </c>
    </row>
    <row r="12" spans="1:16" s="2" customFormat="1" ht="15" customHeight="1">
      <c r="A12" t="str">
        <f t="shared" si="0"/>
        <v/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t="str">
        <f t="shared" ref="A13:A19" si="1">CONCATENATE(C13,D13)</f>
        <v/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t="str">
        <f t="shared" si="1"/>
        <v/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t="str">
        <f t="shared" si="1"/>
        <v/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t="str">
        <f t="shared" si="1"/>
        <v/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t="str">
        <f t="shared" si="1"/>
        <v/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t="str">
        <f t="shared" si="1"/>
        <v/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t="str">
        <f t="shared" si="1"/>
        <v/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workbookViewId="0">
      <selection activeCell="H2" sqref="H2:H8"/>
    </sheetView>
  </sheetViews>
  <sheetFormatPr defaultRowHeight="14.4"/>
  <cols>
    <col min="1" max="1" width="12.44140625" customWidth="1"/>
    <col min="4" max="4" width="24.88671875" customWidth="1"/>
    <col min="11" max="11" width="11" customWidth="1"/>
  </cols>
  <sheetData>
    <row r="1" spans="1:1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24"/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>
      <c r="A2" t="str">
        <f>VLOOKUP(CONCATENATE(ხელფასები!D2,ხელფასები!E2),map!$A$1:$P$100,2,FALSE)</f>
        <v>01009003935</v>
      </c>
      <c r="B2" t="str">
        <f>VLOOKUP(CONCATENATE(ხელფასები!D2,ხელფასები!E2),map!$A$1:$P$120,3,FALSE)</f>
        <v>ალექსანდრე</v>
      </c>
      <c r="C2" t="str">
        <f>VLOOKUP(CONCATENATE(ხელფასები!D2,ხელფასები!E2),map!$A$1:$P$120,4,FALSE)</f>
        <v>ლეჟავა</v>
      </c>
      <c r="D2" t="str">
        <f>VLOOKUP(CONCATENATE(ხელფასები!D2,ხელფასები!E2),map!$A$1:$P$102,5,FALSE)</f>
        <v>თბილისი</v>
      </c>
      <c r="E2" t="str">
        <f>VLOOKUP(CONCATENATE(ხელფასები!D2,ხელფასები!E2),map!$A$1:$P$102,6,FALSE)</f>
        <v>268</v>
      </c>
      <c r="F2" t="str">
        <f>VLOOKUP(CONCATENATE(ხელფასები!D2,ხელფასები!E2),map!$A$1:$P$102,7,FALSE)</f>
        <v>4</v>
      </c>
      <c r="G2" t="str">
        <f>VLOOKUP(CONCATENATE(ხელფასები!D2,ხელფასები!E2),map!$A$1:$P$102,8,FALSE)</f>
        <v>1</v>
      </c>
      <c r="H2">
        <f>IF(VLOOKUP(CONCATENATE(ხელფასები!D2,ხელფასები!E2),map!$A$1:$P$102,10,FALSE)="0",ხელფასები!F2/0.8,ხელფასები!F2/0.8/0.98)</f>
        <v>159.4387755102041</v>
      </c>
      <c r="I2" s="5">
        <f>IF(VLOOKUP(CONCATENATE(ხელფასები!D2,ხელფასები!E2),map!$A$1:$P$102,10,FALSE)="0","0",ხელფასები!F2/0.8/0.98*0.02)</f>
        <v>3.1887755102040818</v>
      </c>
      <c r="J2" s="5">
        <v>0</v>
      </c>
      <c r="K2" s="4" t="str">
        <f>CONCATENATE(IF(LEN(DAY(ხელფასები!C2))&gt;1,DAY(ხელფასები!C2),CONCATENATE("0",DAY(ხელფასები!C2))),"/",MONTH(ხელფასები!C2),"/",YEAR(ხელფასები!C2))</f>
        <v>13/7/2026</v>
      </c>
      <c r="L2" t="str">
        <f>VLOOKUP(CONCATENATE(ხელფასები!D2,ხელფასები!E2),map!$A$1:$P$102,12,FALSE)</f>
        <v>20</v>
      </c>
      <c r="M2">
        <f>IF(VLOOKUP(CONCATENATE(ხელფასები!D2,ხელფასები!E2),map!$A$1:$P$102,10,FALSE)="0",ხელფასები!F2/0.8*0.2,(ხელფასები!F2/0.8/0.98-ხელფასები!F2/0.8/0.98*0.02)*0.2)</f>
        <v>31.25</v>
      </c>
      <c r="N2" t="str">
        <f>VLOOKUP(CONCATENATE(ხელფასები!D2,ხელფასები!E2),map!$A$1:$P$102,14,FALSE)</f>
        <v>0</v>
      </c>
      <c r="O2" t="str">
        <f>VLOOKUP(CONCATENATE(ხელფასები!D2,ხელფასები!E2),map!$A$1:$P$102,15,FALSE)</f>
        <v>0</v>
      </c>
      <c r="P2" t="str">
        <f>VLOOKUP(CONCATENATE(ხელფასები!D2,ხელფასები!E2),map!$A$1:$P$102,16,FALSE)</f>
        <v>0</v>
      </c>
    </row>
    <row r="3" spans="1:16">
      <c r="A3" t="str">
        <f>VLOOKUP(CONCATENATE(ხელფასები!D3,ხელფასები!E3),map!$A$1:$P$100,2,FALSE)</f>
        <v>01017025072</v>
      </c>
      <c r="B3" t="str">
        <f>VLOOKUP(CONCATENATE(ხელფასები!D3,ხელფასები!E3),map!$A$1:$P$120,3,FALSE)</f>
        <v>ზურაბი</v>
      </c>
      <c r="C3" t="str">
        <f>VLOOKUP(CONCATENATE(ხელფასები!D3,ხელფასები!E3),map!$A$1:$P$120,4,FALSE)</f>
        <v>თომაძე</v>
      </c>
      <c r="D3" t="str">
        <f>VLOOKUP(CONCATENATE(ხელფასები!D3,ხელფასები!E3),map!$A$1:$P$102,5,FALSE)</f>
        <v>თბილისი გიგა ლორთქიფანიძის ქ. N 13 ფ. 2</v>
      </c>
      <c r="E3" t="str">
        <f>VLOOKUP(CONCATENATE(ხელფასები!D3,ხელფასები!E3),map!$A$1:$P$102,6,FALSE)</f>
        <v>268</v>
      </c>
      <c r="F3" t="str">
        <f>VLOOKUP(CONCATENATE(ხელფასები!D3,ხელფასები!E3),map!$A$1:$P$102,7,FALSE)</f>
        <v>4</v>
      </c>
      <c r="G3" t="str">
        <f>VLOOKUP(CONCATENATE(ხელფასები!D3,ხელფასები!E3),map!$A$1:$P$102,8,FALSE)</f>
        <v>1</v>
      </c>
      <c r="H3">
        <f>IF(VLOOKUP(CONCATENATE(ხელფასები!D3,ხელფასები!E3),map!$A$1:$P$102,10,FALSE)="0",ხელფასები!F3/0.8,ხელფასები!F3/0.8/0.98)</f>
        <v>1275.5102040816328</v>
      </c>
      <c r="I3" s="5">
        <f>IF(VLOOKUP(CONCATENATE(ხელფასები!D3,ხელფასები!E3),map!$A$1:$P$102,10,FALSE)="0","0",ხელფასები!F3/0.8/0.98*0.02)</f>
        <v>25.510204081632654</v>
      </c>
      <c r="J3" s="5">
        <v>0</v>
      </c>
      <c r="K3" s="4" t="str">
        <f>CONCATENATE(IF(LEN(DAY(ხელფასები!C3))&gt;1,DAY(ხელფასები!C3),CONCATENATE("0",DAY(ხელფასები!C3))),"/",MONTH(ხელფასები!C3),"/",YEAR(ხელფასები!C3))</f>
        <v>14/7/2026</v>
      </c>
      <c r="L3" t="str">
        <f>VLOOKUP(CONCATENATE(ხელფასები!D3,ხელფასები!E3),map!$A$1:$P$102,12,FALSE)</f>
        <v>20</v>
      </c>
      <c r="M3">
        <f>IF(VLOOKUP(CONCATENATE(ხელფასები!D3,ხელფასები!E3),map!$A$1:$P$102,10,FALSE)="0",ხელფასები!F3/0.8*0.2,(ხელფასები!F3/0.8/0.98-ხელფასები!F3/0.8/0.98*0.02)*0.2)</f>
        <v>250</v>
      </c>
      <c r="N3" t="str">
        <f>VLOOKUP(CONCATENATE(ხელფასები!D3,ხელფასები!E3),map!$A$1:$P$102,14,FALSE)</f>
        <v>0</v>
      </c>
      <c r="O3" t="str">
        <f>VLOOKUP(CONCATENATE(ხელფასები!D3,ხელფასები!E3),map!$A$1:$P$102,15,FALSE)</f>
        <v>0</v>
      </c>
      <c r="P3" t="str">
        <f>VLOOKUP(CONCATENATE(ხელფასები!D3,ხელფასები!E3),map!$A$1:$P$102,16,FALSE)</f>
        <v>0</v>
      </c>
    </row>
    <row r="4" spans="1:16">
      <c r="A4" t="str">
        <f>VLOOKUP(CONCATENATE(ხელფასები!D4,ხელფასები!E4),map!$A$1:$P$100,2,FALSE)</f>
        <v>01009003935</v>
      </c>
      <c r="B4" t="str">
        <f>VLOOKUP(CONCATENATE(ხელფასები!D4,ხელფასები!E4),map!$A$1:$P$120,3,FALSE)</f>
        <v>ალექსანდრე</v>
      </c>
      <c r="C4" t="str">
        <f>VLOOKUP(CONCATENATE(ხელფასები!D4,ხელფასები!E4),map!$A$1:$P$120,4,FALSE)</f>
        <v>ლეჟავა</v>
      </c>
      <c r="D4" t="str">
        <f>VLOOKUP(CONCATENATE(ხელფასები!D4,ხელფასები!E4),map!$A$1:$P$102,5,FALSE)</f>
        <v>თბილისი</v>
      </c>
      <c r="E4" t="str">
        <f>VLOOKUP(CONCATENATE(ხელფასები!D4,ხელფასები!E4),map!$A$1:$P$102,6,FALSE)</f>
        <v>268</v>
      </c>
      <c r="F4" t="str">
        <f>VLOOKUP(CONCATENATE(ხელფასები!D4,ხელფასები!E4),map!$A$1:$P$102,7,FALSE)</f>
        <v>4</v>
      </c>
      <c r="G4" t="str">
        <f>VLOOKUP(CONCATENATE(ხელფასები!D4,ხელფასები!E4),map!$A$1:$P$102,8,FALSE)</f>
        <v>1</v>
      </c>
      <c r="H4">
        <f>IF(VLOOKUP(CONCATENATE(ხელფასები!D4,ხელფასები!E4),map!$A$1:$P$102,10,FALSE)="0",ხელფასები!F4/0.8,ხელფასები!F4/0.8/0.98)</f>
        <v>286.98979591836735</v>
      </c>
      <c r="I4" s="5">
        <f>IF(VLOOKUP(CONCATENATE(ხელფასები!D4,ხელფასები!E4),map!$A$1:$P$102,10,FALSE)="0","0",ხელფასები!F4/0.8/0.98*0.02)</f>
        <v>5.7397959183673475</v>
      </c>
      <c r="J4" s="5">
        <v>0</v>
      </c>
      <c r="K4" s="4" t="str">
        <f>CONCATENATE(IF(LEN(DAY(ხელფასები!C4))&gt;1,DAY(ხელფასები!C4),CONCATENATE("0",DAY(ხელფასები!C4))),"/",MONTH(ხელფასები!C4),"/",YEAR(ხელფასები!C4))</f>
        <v>19/7/2026</v>
      </c>
      <c r="L4" t="str">
        <f>VLOOKUP(CONCATENATE(ხელფასები!D4,ხელფასები!E4),map!$A$1:$P$102,12,FALSE)</f>
        <v>20</v>
      </c>
      <c r="M4">
        <f>IF(VLOOKUP(CONCATENATE(ხელფასები!D4,ხელფასები!E4),map!$A$1:$P$102,10,FALSE)="0",ხელფასები!F4/0.8*0.2,(ხელფასები!F4/0.8/0.98-ხელფასები!F4/0.8/0.98*0.02)*0.2)</f>
        <v>56.25</v>
      </c>
      <c r="N4" t="str">
        <f>VLOOKUP(CONCATENATE(ხელფასები!D4,ხელფასები!E4),map!$A$1:$P$102,14,FALSE)</f>
        <v>0</v>
      </c>
      <c r="O4" t="str">
        <f>VLOOKUP(CONCATENATE(ხელფასები!D4,ხელფასები!E4),map!$A$1:$P$102,15,FALSE)</f>
        <v>0</v>
      </c>
      <c r="P4" t="str">
        <f>VLOOKUP(CONCATENATE(ხელფასები!D4,ხელფასები!E4),map!$A$1:$P$102,16,FALSE)</f>
        <v>0</v>
      </c>
    </row>
    <row r="5" spans="1:16">
      <c r="A5" t="str">
        <f>VLOOKUP(CONCATENATE(ხელფასები!D5,ხელფასები!E5),map!$A$1:$P$100,2,FALSE)</f>
        <v>62003016407</v>
      </c>
      <c r="B5" t="str">
        <f>VLOOKUP(CONCATENATE(ხელფასები!D5,ხელფასები!E5),map!$A$1:$P$120,3,FALSE)</f>
        <v>დავით</v>
      </c>
      <c r="C5" t="str">
        <f>VLOOKUP(CONCATENATE(ხელფასები!D5,ხელფასები!E5),map!$A$1:$P$120,4,FALSE)</f>
        <v>სვირავა</v>
      </c>
      <c r="D5" t="str">
        <f>VLOOKUP(CONCATENATE(ხელფასები!D5,ხელფასები!E5),map!$A$1:$P$102,5,FALSE)</f>
        <v>თბილისი</v>
      </c>
      <c r="E5" t="str">
        <f>VLOOKUP(CONCATENATE(ხელფასები!D5,ხელფასები!E5),map!$A$1:$P$102,6,FALSE)</f>
        <v>268</v>
      </c>
      <c r="F5" t="str">
        <f>VLOOKUP(CONCATENATE(ხელფასები!D5,ხელფასები!E5),map!$A$1:$P$102,7,FALSE)</f>
        <v>4</v>
      </c>
      <c r="G5" t="str">
        <f>VLOOKUP(CONCATENATE(ხელფასები!D5,ხელფასები!E5),map!$A$1:$P$102,8,FALSE)</f>
        <v>1</v>
      </c>
      <c r="H5">
        <f>IF(VLOOKUP(CONCATENATE(ხელფასები!D5,ხელფასები!E5),map!$A$1:$P$102,10,FALSE)="0",ხელფასები!F5/0.8,ხელფასები!F5/0.8/0.98)</f>
        <v>1530.6122448979593</v>
      </c>
      <c r="I5" s="5">
        <f>IF(VLOOKUP(CONCATENATE(ხელფასები!D5,ხელფასები!E5),map!$A$1:$P$102,10,FALSE)="0","0",ხელფასები!F5/0.8/0.98*0.02)</f>
        <v>30.612244897959187</v>
      </c>
      <c r="J5" s="5">
        <v>0</v>
      </c>
      <c r="K5" s="4" t="str">
        <f>CONCATENATE(IF(LEN(DAY(ხელფასები!C5))&gt;1,DAY(ხელფასები!C5),CONCATENATE("0",DAY(ხელფასები!C5))),"/",MONTH(ხელფასები!C5),"/",YEAR(ხელფასები!C5))</f>
        <v>22/7/2026</v>
      </c>
      <c r="L5" t="str">
        <f>VLOOKUP(CONCATENATE(ხელფასები!D5,ხელფასები!E5),map!$A$1:$P$102,12,FALSE)</f>
        <v>20</v>
      </c>
      <c r="M5">
        <f>IF(VLOOKUP(CONCATENATE(ხელფასები!D5,ხელფასები!E5),map!$A$1:$P$102,10,FALSE)="0",ხელფასები!F5/0.8*0.2,(ხელფასები!F5/0.8/0.98-ხელფასები!F5/0.8/0.98*0.02)*0.2)</f>
        <v>300</v>
      </c>
      <c r="N5" t="str">
        <f>VLOOKUP(CONCATENATE(ხელფასები!D5,ხელფასები!E5),map!$A$1:$P$102,14,FALSE)</f>
        <v>0</v>
      </c>
      <c r="O5" t="str">
        <f>VLOOKUP(CONCATENATE(ხელფასები!D5,ხელფასები!E5),map!$A$1:$P$102,15,FALSE)</f>
        <v>0</v>
      </c>
      <c r="P5" t="str">
        <f>VLOOKUP(CONCATENATE(ხელფასები!D5,ხელფასები!E5),map!$A$1:$P$102,16,FALSE)</f>
        <v>0</v>
      </c>
    </row>
    <row r="6" spans="1:16">
      <c r="A6" t="str">
        <f>VLOOKUP(CONCATENATE(ხელფასები!D6,ხელფასები!E6),map!$A$1:$P$100,2,FALSE)</f>
        <v>01009003935</v>
      </c>
      <c r="B6" t="str">
        <f>VLOOKUP(CONCATENATE(ხელფასები!D6,ხელფასები!E6),map!$A$1:$P$120,3,FALSE)</f>
        <v>ალექსანდრე</v>
      </c>
      <c r="C6" t="str">
        <f>VLOOKUP(CONCATENATE(ხელფასები!D6,ხელფასები!E6),map!$A$1:$P$120,4,FALSE)</f>
        <v>ლეჟავა</v>
      </c>
      <c r="D6" t="str">
        <f>VLOOKUP(CONCATENATE(ხელფასები!D6,ხელფასები!E6),map!$A$1:$P$102,5,FALSE)</f>
        <v>თბილისი</v>
      </c>
      <c r="E6" t="str">
        <f>VLOOKUP(CONCATENATE(ხელფასები!D6,ხელფასები!E6),map!$A$1:$P$102,6,FALSE)</f>
        <v>268</v>
      </c>
      <c r="F6" t="str">
        <f>VLOOKUP(CONCATENATE(ხელფასები!D6,ხელფასები!E6),map!$A$1:$P$102,7,FALSE)</f>
        <v>4</v>
      </c>
      <c r="G6" t="str">
        <f>VLOOKUP(CONCATENATE(ხელფასები!D6,ხელფასები!E6),map!$A$1:$P$102,8,FALSE)</f>
        <v>1</v>
      </c>
      <c r="H6">
        <f>IF(VLOOKUP(CONCATENATE(ხელფასები!D6,ხელფასები!E6),map!$A$1:$P$102,10,FALSE)="0",ხელფასები!F6/0.8,ხელფასები!F6/0.8/0.98)</f>
        <v>286.98979591836735</v>
      </c>
      <c r="I6" s="5">
        <f>IF(VLOOKUP(CONCATENATE(ხელფასები!D6,ხელფასები!E6),map!$A$1:$P$102,10,FALSE)="0","0",ხელფასები!F6/0.8/0.98*0.02)</f>
        <v>5.7397959183673475</v>
      </c>
      <c r="J6" s="5">
        <v>0</v>
      </c>
      <c r="K6" s="4" t="str">
        <f>CONCATENATE(IF(LEN(DAY(ხელფასები!C6))&gt;1,DAY(ხელფასები!C6),CONCATENATE("0",DAY(ხელფასები!C6))),"/",MONTH(ხელფასები!C6),"/",YEAR(ხელფასები!C6))</f>
        <v>27/7/2026</v>
      </c>
      <c r="L6" t="str">
        <f>VLOOKUP(CONCATENATE(ხელფასები!D6,ხელფასები!E6),map!$A$1:$P$102,12,FALSE)</f>
        <v>20</v>
      </c>
      <c r="M6">
        <f>IF(VLOOKUP(CONCATENATE(ხელფასები!D6,ხელფასები!E6),map!$A$1:$P$102,10,FALSE)="0",ხელფასები!F6/0.8*0.2,(ხელფასები!F6/0.8/0.98-ხელფასები!F6/0.8/0.98*0.02)*0.2)</f>
        <v>56.25</v>
      </c>
      <c r="N6" t="str">
        <f>VLOOKUP(CONCATENATE(ხელფასები!D6,ხელფასები!E6),map!$A$1:$P$102,14,FALSE)</f>
        <v>0</v>
      </c>
      <c r="O6" t="str">
        <f>VLOOKUP(CONCATENATE(ხელფასები!D6,ხელფასები!E6),map!$A$1:$P$102,15,FALSE)</f>
        <v>0</v>
      </c>
      <c r="P6" t="str">
        <f>VLOOKUP(CONCATENATE(ხელფასები!D6,ხელფასები!E6),map!$A$1:$P$102,16,FALSE)</f>
        <v>0</v>
      </c>
    </row>
    <row r="7" spans="1:16">
      <c r="A7" t="str">
        <f>VLOOKUP(CONCATENATE(ხელფასები!D7,ხელფასები!E7),map!$A$1:$P$100,2,FALSE)</f>
        <v>01003003707</v>
      </c>
      <c r="B7" t="str">
        <f>VLOOKUP(CONCATENATE(ხელფასები!D7,ხელფასები!E7),map!$A$1:$P$120,3,FALSE)</f>
        <v>ნანა</v>
      </c>
      <c r="C7" t="str">
        <f>VLOOKUP(CONCATENATE(ხელფასები!D7,ხელფასები!E7),map!$A$1:$P$120,4,FALSE)</f>
        <v>კურცხალია</v>
      </c>
      <c r="D7" t="str">
        <f>VLOOKUP(CONCATENATE(ხელფასები!D7,ხელფასები!E7),map!$A$1:$P$102,5,FALSE)</f>
        <v>თბილისი, მუხიანი მესამე მ/რ, კორპუსი 1</v>
      </c>
      <c r="E7" t="str">
        <f>VLOOKUP(CONCATENATE(ხელფასები!D7,ხელფასები!E7),map!$A$1:$P$102,6,FALSE)</f>
        <v>268</v>
      </c>
      <c r="F7" t="str">
        <f>VLOOKUP(CONCATENATE(ხელფასები!D7,ხელფასები!E7),map!$A$1:$P$102,7,FALSE)</f>
        <v>4</v>
      </c>
      <c r="G7" t="str">
        <f>VLOOKUP(CONCATENATE(ხელფასები!D7,ხელფასები!E7),map!$A$1:$P$102,8,FALSE)</f>
        <v>1</v>
      </c>
      <c r="H7">
        <f>IF(VLOOKUP(CONCATENATE(ხელფასები!D7,ხელფასები!E7),map!$A$1:$P$102,10,FALSE)="0",ხელფასები!F7/0.8,ხელფასები!F7/0.8/0.98)</f>
        <v>1530.6122448979593</v>
      </c>
      <c r="I7" s="5">
        <f>IF(VLOOKUP(CONCATENATE(ხელფასები!D7,ხელფასები!E7),map!$A$1:$P$102,10,FALSE)="0","0",ხელფასები!F7/0.8/0.98*0.02)</f>
        <v>30.612244897959187</v>
      </c>
      <c r="J7" s="5">
        <v>0</v>
      </c>
      <c r="K7" s="4" t="str">
        <f>CONCATENATE(IF(LEN(DAY(ხელფასები!C7))&gt;1,DAY(ხელფასები!C7),CONCATENATE("0",DAY(ხელფასები!C7))),"/",MONTH(ხელფასები!C7),"/",YEAR(ხელფასები!C7))</f>
        <v>27/7/2026</v>
      </c>
      <c r="L7" t="str">
        <f>VLOOKUP(CONCATENATE(ხელფასები!D7,ხელფასები!E7),map!$A$1:$P$102,12,FALSE)</f>
        <v>20</v>
      </c>
      <c r="M7">
        <f>IF(VLOOKUP(CONCATENATE(ხელფასები!D7,ხელფასები!E7),map!$A$1:$P$102,10,FALSE)="0",ხელფასები!F7/0.8*0.2,(ხელფასები!F7/0.8/0.98-ხელფასები!F7/0.8/0.98*0.02)*0.2)</f>
        <v>300</v>
      </c>
      <c r="N7" t="str">
        <f>VLOOKUP(CONCATENATE(ხელფასები!D7,ხელფასები!E7),map!$A$1:$P$102,14,FALSE)</f>
        <v>0</v>
      </c>
      <c r="O7" t="str">
        <f>VLOOKUP(CONCATENATE(ხელფასები!D7,ხელფასები!E7),map!$A$1:$P$102,15,FALSE)</f>
        <v>0</v>
      </c>
      <c r="P7" t="str">
        <f>VLOOKUP(CONCATENATE(ხელფასები!D7,ხელფასები!E7),map!$A$1:$P$102,16,FALSE)</f>
        <v>0</v>
      </c>
    </row>
    <row r="8" spans="1:16">
      <c r="A8" t="str">
        <f>VLOOKUP(CONCATENATE(ხელფასები!D8,ხელფასები!E8),map!$A$1:$P$100,2,FALSE)</f>
        <v>01017025072</v>
      </c>
      <c r="B8" t="str">
        <f>VLOOKUP(CONCATENATE(ხელფასები!D8,ხელფასები!E8),map!$A$1:$P$120,3,FALSE)</f>
        <v>ზურაბი</v>
      </c>
      <c r="C8" t="str">
        <f>VLOOKUP(CONCATENATE(ხელფასები!D8,ხელფასები!E8),map!$A$1:$P$120,4,FALSE)</f>
        <v>თომაძე</v>
      </c>
      <c r="D8" t="str">
        <f>VLOOKUP(CONCATENATE(ხელფასები!D8,ხელფასები!E8),map!$A$1:$P$102,5,FALSE)</f>
        <v>თბილისი გიგა ლორთქიფანიძის ქ. N 13 ფ. 2</v>
      </c>
      <c r="E8" t="str">
        <f>VLOOKUP(CONCATENATE(ხელფასები!D8,ხელფასები!E8),map!$A$1:$P$102,6,FALSE)</f>
        <v>268</v>
      </c>
      <c r="F8" t="str">
        <f>VLOOKUP(CONCATENATE(ხელფასები!D8,ხელფასები!E8),map!$A$1:$P$102,7,FALSE)</f>
        <v>4</v>
      </c>
      <c r="G8" t="str">
        <f>VLOOKUP(CONCATENATE(ხელფასები!D8,ხელფასები!E8),map!$A$1:$P$102,8,FALSE)</f>
        <v>1</v>
      </c>
      <c r="H8">
        <f>IF(VLOOKUP(CONCATENATE(ხელფასები!D8,ხელფასები!E8),map!$A$1:$P$102,10,FALSE)="0",ხელფასები!F8/0.8,ხელფასები!F8/0.8/0.98)</f>
        <v>1275.5102040816328</v>
      </c>
      <c r="I8" s="5">
        <f>IF(VLOOKUP(CONCATENATE(ხელფასები!D8,ხელფასები!E8),map!$A$1:$P$102,10,FALSE)="0","0",ხელფასები!F8/0.8/0.98*0.02)</f>
        <v>25.510204081632654</v>
      </c>
      <c r="J8" s="5">
        <v>0</v>
      </c>
      <c r="K8" s="4" t="str">
        <f>CONCATENATE(IF(LEN(DAY(ხელფასები!C8))&gt;1,DAY(ხელფასები!C8),CONCATENATE("0",DAY(ხელფასები!C8))),"/",MONTH(ხელფასები!C8),"/",YEAR(ხელფასები!C8))</f>
        <v>27/7/2026</v>
      </c>
      <c r="L8" t="str">
        <f>VLOOKUP(CONCATENATE(ხელფასები!D8,ხელფასები!E8),map!$A$1:$P$102,12,FALSE)</f>
        <v>20</v>
      </c>
      <c r="M8">
        <f>IF(VLOOKUP(CONCATENATE(ხელფასები!D8,ხელფასები!E8),map!$A$1:$P$102,10,FALSE)="0",ხელფასები!F8/0.8*0.2,(ხელფასები!F8/0.8/0.98-ხელფასები!F8/0.8/0.98*0.02)*0.2)</f>
        <v>250</v>
      </c>
      <c r="N8" t="str">
        <f>VLOOKUP(CONCATENATE(ხელფასები!D8,ხელფასები!E8),map!$A$1:$P$102,14,FALSE)</f>
        <v>0</v>
      </c>
      <c r="O8" t="str">
        <f>VLOOKUP(CONCATENATE(ხელფასები!D8,ხელფასები!E8),map!$A$1:$P$102,15,FALSE)</f>
        <v>0</v>
      </c>
      <c r="P8" t="str">
        <f>VLOOKUP(CONCATENATE(ხელფასები!D8,ხელფასები!E8),map!$A$1:$P$102,16,FALSE)</f>
        <v>0</v>
      </c>
    </row>
    <row r="9" spans="1:16">
      <c r="A9">
        <f>VLOOKUP(CONCATENATE(ხელფასები!D9,ხელფასები!E9),map!$A$1:$P$100,2,FALSE)</f>
        <v>0</v>
      </c>
      <c r="B9">
        <f>VLOOKUP(CONCATENATE(ხელფასები!D9,ხელფასები!E9),map!$A$1:$P$120,3,FALSE)</f>
        <v>0</v>
      </c>
      <c r="C9">
        <f>VLOOKUP(CONCATENATE(ხელფასები!D9,ხელფასები!E9),map!$A$1:$P$120,4,FALSE)</f>
        <v>0</v>
      </c>
      <c r="D9">
        <f>VLOOKUP(CONCATENATE(ხელფასები!D9,ხელფასები!E9),map!$A$1:$P$102,5,FALSE)</f>
        <v>0</v>
      </c>
      <c r="E9">
        <f>VLOOKUP(CONCATENATE(ხელფასები!D9,ხელფასები!E9),map!$A$1:$P$102,6,FALSE)</f>
        <v>0</v>
      </c>
      <c r="F9">
        <f>VLOOKUP(CONCATENATE(ხელფასები!D9,ხელფასები!E9),map!$A$1:$P$102,7,FALSE)</f>
        <v>0</v>
      </c>
      <c r="G9">
        <f>VLOOKUP(CONCATENATE(ხელფასები!D9,ხელფასები!E9),map!$A$1:$P$102,8,FALSE)</f>
        <v>0</v>
      </c>
      <c r="H9">
        <f>IF(VLOOKUP(CONCATENATE(ხელფასები!D9,ხელფასები!E9),map!$A$1:$P$102,10,FALSE)="0",ხელფასები!F9/0.8,ხელფასები!F9/0.8/0.98)</f>
        <v>0</v>
      </c>
      <c r="I9" s="5">
        <f>IF(VLOOKUP(CONCATENATE(ხელფასები!D9,ხელფასები!E9),map!$A$1:$P$102,10,FALSE)="0","0",ხელფასები!F9/0.8/0.98*0.02)</f>
        <v>0</v>
      </c>
      <c r="J9" s="5">
        <v>0</v>
      </c>
      <c r="K9" s="4" t="str">
        <f>CONCATENATE(IF(LEN(DAY(ხელფასები!C9))&gt;1,DAY(ხელფასები!C9),CONCATENATE("0",DAY(ხელფასები!C9))),"/",MONTH(ხელფასები!C9),"/",YEAR(ხელფასები!C9))</f>
        <v>00/1/1900</v>
      </c>
      <c r="L9">
        <f>VLOOKUP(CONCATENATE(ხელფასები!D9,ხელფასები!E9),map!$A$1:$P$102,12,FALSE)</f>
        <v>0</v>
      </c>
      <c r="M9">
        <f>IF(VLOOKUP(CONCATENATE(ხელფასები!D9,ხელფასები!E9),map!$A$1:$P$102,10,FALSE)="0",ხელფასები!F9/0.8*0.2,(ხელფასები!F9/0.8/0.98-ხელფასები!F9/0.8/0.98*0.02)*0.2)</f>
        <v>0</v>
      </c>
      <c r="N9">
        <f>VLOOKUP(CONCATENATE(ხელფასები!D9,ხელფასები!E9),map!$A$1:$P$102,14,FALSE)</f>
        <v>0</v>
      </c>
      <c r="O9">
        <f>VLOOKUP(CONCATENATE(ხელფასები!D9,ხელფასები!E9),map!$A$1:$P$102,15,FALSE)</f>
        <v>0</v>
      </c>
      <c r="P9">
        <f>VLOOKUP(CONCATENATE(ხელფასები!D9,ხელფასები!E9),map!$A$1:$P$102,16,FALSE)</f>
        <v>0</v>
      </c>
    </row>
    <row r="10" spans="1:16">
      <c r="A10">
        <f>VLOOKUP(CONCATENATE(ხელფასები!D10,ხელფასები!E10),map!$A$1:$P$100,2,FALSE)</f>
        <v>0</v>
      </c>
      <c r="B10">
        <f>VLOOKUP(CONCATENATE(ხელფასები!D10,ხელფასები!E10),map!$A$1:$P$120,3,FALSE)</f>
        <v>0</v>
      </c>
      <c r="C10">
        <f>VLOOKUP(CONCATENATE(ხელფასები!D10,ხელფასები!E10),map!$A$1:$P$120,4,FALSE)</f>
        <v>0</v>
      </c>
      <c r="D10">
        <f>VLOOKUP(CONCATENATE(ხელფასები!D10,ხელფასები!E10),map!$A$1:$P$102,5,FALSE)</f>
        <v>0</v>
      </c>
      <c r="E10">
        <f>VLOOKUP(CONCATENATE(ხელფასები!D10,ხელფასები!E10),map!$A$1:$P$102,6,FALSE)</f>
        <v>0</v>
      </c>
      <c r="F10">
        <f>VLOOKUP(CONCATENATE(ხელფასები!D10,ხელფასები!E10),map!$A$1:$P$102,7,FALSE)</f>
        <v>0</v>
      </c>
      <c r="G10">
        <f>VLOOKUP(CONCATENATE(ხელფასები!D10,ხელფასები!E10),map!$A$1:$P$102,8,FALSE)</f>
        <v>0</v>
      </c>
      <c r="H10">
        <f>IF(VLOOKUP(CONCATENATE(ხელფასები!D10,ხელფასები!E10),map!$A$1:$P$102,10,FALSE)="0",ხელფასები!F10/0.8,ხელფასები!F10/0.8/0.98)</f>
        <v>0</v>
      </c>
      <c r="I10" s="5">
        <f>IF(VLOOKUP(CONCATENATE(ხელფასები!D10,ხელფასები!E10),map!$A$1:$P$102,10,FALSE)="0","0",ხელფასები!F10/0.8/0.98*0.02)</f>
        <v>0</v>
      </c>
      <c r="J10" s="5">
        <v>1</v>
      </c>
      <c r="K10" s="4" t="str">
        <f>CONCATENATE(IF(LEN(DAY(ხელფასები!C10))&gt;1,DAY(ხელფასები!C10),CONCATENATE("0",DAY(ხელფასები!C10))),"/",MONTH(ხელფასები!C10),"/",YEAR(ხელფასები!C10))</f>
        <v>00/1/1900</v>
      </c>
      <c r="L10">
        <f>VLOOKUP(CONCATENATE(ხელფასები!D10,ხელფასები!E10),map!$A$1:$P$102,12,FALSE)</f>
        <v>0</v>
      </c>
      <c r="M10">
        <f>IF(VLOOKUP(CONCATENATE(ხელფასები!D10,ხელფასები!E10),map!$A$1:$P$102,10,FALSE)="0",ხელფასები!F10/0.8*0.2,(ხელფასები!F10/0.8/0.98-ხელფასები!F10/0.8/0.98*0.02)*0.2)</f>
        <v>0</v>
      </c>
      <c r="N10">
        <f>VLOOKUP(CONCATENATE(ხელფასები!D10,ხელფასები!E10),map!$A$1:$P$102,14,FALSE)</f>
        <v>0</v>
      </c>
      <c r="O10">
        <f>VLOOKUP(CONCATENATE(ხელფასები!D10,ხელფასები!E10),map!$A$1:$P$102,15,FALSE)</f>
        <v>0</v>
      </c>
      <c r="P10">
        <f>VLOOKUP(CONCATENATE(ხელფასები!D10,ხელფასები!E10),map!$A$1:$P$102,16,FALSE)</f>
        <v>0</v>
      </c>
    </row>
    <row r="11" spans="1:16">
      <c r="A11">
        <f>VLOOKUP(CONCATENATE(ხელფასები!D10,ხელფასები!E10),map!$A$1:$P$100,2,FALSE)</f>
        <v>0</v>
      </c>
      <c r="B11">
        <f>VLOOKUP(CONCATENATE(ხელფასები!D10,ხელფასები!E10),map!$A$1:$P$120,3,FALSE)</f>
        <v>0</v>
      </c>
      <c r="C11">
        <f>VLOOKUP(CONCATENATE(ხელფასები!D10,ხელფასები!E10),map!$A$1:$P$120,4,FALSE)</f>
        <v>0</v>
      </c>
      <c r="D11">
        <f>VLOOKUP(CONCATENATE(ხელფასები!D10,ხელფასები!E10),map!$A$1:$P$102,5,FALSE)</f>
        <v>0</v>
      </c>
      <c r="E11">
        <f>VLOOKUP(CONCATENATE(ხელფასები!D10,ხელფასები!E10),map!$A$1:$P$102,6,FALSE)</f>
        <v>0</v>
      </c>
      <c r="F11">
        <f>VLOOKUP(CONCATENATE(ხელფასები!D10,ხელფასები!E10),map!$A$1:$P$102,7,FALSE)</f>
        <v>0</v>
      </c>
      <c r="G11">
        <f>VLOOKUP(CONCATENATE(ხელფასები!D10,ხელფასები!E10),map!$A$1:$P$102,8,FALSE)</f>
        <v>0</v>
      </c>
      <c r="H11">
        <f>IF(VLOOKUP(CONCATENATE(ხელფასები!D10,ხელფასები!E10),map!$A$1:$P$102,10,FALSE)="0",ხელფასები!F10/0.8,ხელფასები!F10/0.8/0.98)</f>
        <v>0</v>
      </c>
      <c r="I11" s="5">
        <f>IF(VLOOKUP(CONCATENATE(ხელფასები!D10,ხელფასები!E10),map!$A$1:$P$102,10,FALSE)="0","0",ხელფასები!F10/0.8/0.98*0.02)</f>
        <v>0</v>
      </c>
      <c r="J11" s="5">
        <v>0</v>
      </c>
      <c r="K11" s="4" t="str">
        <f>CONCATENATE(IF(LEN(DAY(ხელფასები!C10))&gt;1,DAY(ხელფასები!C10),CONCATENATE("0",DAY(ხელფასები!C10))),"/",MONTH(ხელფასები!C10),"/",YEAR(ხელფასები!C10))</f>
        <v>00/1/1900</v>
      </c>
      <c r="L11">
        <f>VLOOKUP(CONCATENATE(ხელფასები!D10,ხელფასები!E10),map!$A$1:$P$102,12,FALSE)</f>
        <v>0</v>
      </c>
      <c r="M11">
        <f>IF(VLOOKUP(CONCATENATE(ხელფასები!D10,ხელფასები!E10),map!$A$1:$P$102,10,FALSE)="0",ხელფასები!F10/0.8*0.2,(ხელფასები!F10/0.8/0.98-ხელფასები!F10/0.8/0.98*0.02)*0.2)</f>
        <v>0</v>
      </c>
      <c r="N11">
        <f>VLOOKUP(CONCATENATE(ხელფასები!D10,ხელფასები!E10),map!$A$1:$P$102,14,FALSE)</f>
        <v>0</v>
      </c>
      <c r="O11">
        <f>VLOOKUP(CONCATENATE(ხელფასები!D10,ხელფასები!E10),map!$A$1:$P$102,15,FALSE)</f>
        <v>0</v>
      </c>
      <c r="P11">
        <f>VLOOKUP(CONCATENATE(ხელფასები!D10,ხელფასები!E10),map!$A$1:$P$102,16,FALSE)</f>
        <v>0</v>
      </c>
    </row>
    <row r="12" spans="1:16">
      <c r="A12">
        <f>VLOOKUP(CONCATENATE(ხელფასები!D11,ხელფასები!E11),map!$A$1:$P$100,2,FALSE)</f>
        <v>0</v>
      </c>
      <c r="B12">
        <f>VLOOKUP(CONCATENATE(ხელფასები!D11,ხელფასები!E11),map!$A$1:$P$120,3,FALSE)</f>
        <v>0</v>
      </c>
      <c r="C12">
        <f>VLOOKUP(CONCATENATE(ხელფასები!D11,ხელფასები!E11),map!$A$1:$P$120,4,FALSE)</f>
        <v>0</v>
      </c>
      <c r="D12">
        <f>VLOOKUP(CONCATENATE(ხელფასები!D11,ხელფასები!E11),map!$A$1:$P$102,5,FALSE)</f>
        <v>0</v>
      </c>
      <c r="E12">
        <f>VLOOKUP(CONCATENATE(ხელფასები!D11,ხელფასები!E11),map!$A$1:$P$102,6,FALSE)</f>
        <v>0</v>
      </c>
      <c r="F12">
        <f>VLOOKUP(CONCATENATE(ხელფასები!D11,ხელფასები!E11),map!$A$1:$P$102,7,FALSE)</f>
        <v>0</v>
      </c>
      <c r="G12">
        <f>VLOOKUP(CONCATENATE(ხელფასები!D11,ხელფასები!E11),map!$A$1:$P$102,8,FALSE)</f>
        <v>0</v>
      </c>
      <c r="H12">
        <f>IF(VLOOKUP(CONCATENATE(ხელფასები!D11,ხელფასები!E11),map!$A$1:$P$102,10,FALSE)="0",ხელფასები!F11/0.8,ხელფასები!F11/0.8/0.98)</f>
        <v>0</v>
      </c>
      <c r="I12" s="5">
        <f>IF(VLOOKUP(CONCATENATE(ხელფასები!D11,ხელფასები!E11),map!$A$1:$P$102,10,FALSE)="0","0",ხელფასები!F11/0.8/0.98*0.02)</f>
        <v>0</v>
      </c>
      <c r="J12" s="5">
        <v>0</v>
      </c>
      <c r="K12" s="4" t="str">
        <f>CONCATENATE(IF(LEN(DAY(ხელფასები!C11))&gt;1,DAY(ხელფასები!C11),CONCATENATE("0",DAY(ხელფასები!C11))),"/",MONTH(ხელფასები!C11),"/",YEAR(ხელფასები!C11))</f>
        <v>00/1/1900</v>
      </c>
      <c r="L12">
        <f>VLOOKUP(CONCATENATE(ხელფასები!D11,ხელფასები!E11),map!$A$1:$P$102,12,FALSE)</f>
        <v>0</v>
      </c>
      <c r="M12">
        <f>IF(VLOOKUP(CONCATENATE(ხელფასები!D11,ხელფასები!E11),map!$A$1:$P$102,10,FALSE)="0",ხელფასები!F11/0.8*0.2,(ხელფასები!F11/0.8/0.98-ხელფასები!F11/0.8/0.98*0.02)*0.2)</f>
        <v>0</v>
      </c>
      <c r="N12">
        <f>VLOOKUP(CONCATENATE(ხელფასები!D11,ხელფასები!E11),map!$A$1:$P$102,14,FALSE)</f>
        <v>0</v>
      </c>
      <c r="O12">
        <f>VLOOKUP(CONCATENATE(ხელფასები!D11,ხელფასები!E11),map!$A$1:$P$102,15,FALSE)</f>
        <v>0</v>
      </c>
      <c r="P12">
        <f>VLOOKUP(CONCATENATE(ხელფასები!D11,ხელფასები!E11),map!$A$1:$P$102,16,FALSE)</f>
        <v>0</v>
      </c>
    </row>
    <row r="13" spans="1:16">
      <c r="A13">
        <f>VLOOKUP(CONCATENATE(ხელფასები!D12,ხელფასები!E12),map!$A$1:$P$100,2,FALSE)</f>
        <v>0</v>
      </c>
      <c r="B13">
        <f>VLOOKUP(CONCATENATE(ხელფასები!D12,ხელფასები!E12),map!$A$1:$P$120,3,FALSE)</f>
        <v>0</v>
      </c>
      <c r="C13">
        <f>VLOOKUP(CONCATENATE(ხელფასები!D12,ხელფასები!E12),map!$A$1:$P$120,4,FALSE)</f>
        <v>0</v>
      </c>
      <c r="D13">
        <f>VLOOKUP(CONCATENATE(ხელფასები!D12,ხელფასები!E12),map!$A$1:$P$102,5,FALSE)</f>
        <v>0</v>
      </c>
      <c r="E13">
        <f>VLOOKUP(CONCATENATE(ხელფასები!D12,ხელფასები!E12),map!$A$1:$P$102,6,FALSE)</f>
        <v>0</v>
      </c>
      <c r="F13">
        <f>VLOOKUP(CONCATENATE(ხელფასები!D12,ხელფასები!E12),map!$A$1:$P$102,7,FALSE)</f>
        <v>0</v>
      </c>
      <c r="G13">
        <f>VLOOKUP(CONCATENATE(ხელფასები!D12,ხელფასები!E12),map!$A$1:$P$102,8,FALSE)</f>
        <v>0</v>
      </c>
      <c r="H13">
        <f>IF(VLOOKUP(CONCATENATE(ხელფასები!D12,ხელფასები!E12),map!$A$1:$P$102,10,FALSE)="0",ხელფასები!F12/0.8,ხელფასები!F12/0.8/0.98)</f>
        <v>0</v>
      </c>
      <c r="I13" s="5">
        <f>IF(VLOOKUP(CONCATENATE(ხელფასები!D12,ხელფასები!E12),map!$A$1:$P$102,10,FALSE)="0","0",ხელფასები!F12/0.8/0.98*0.02)</f>
        <v>0</v>
      </c>
      <c r="J13" s="5">
        <v>0</v>
      </c>
      <c r="K13" s="4" t="str">
        <f>CONCATENATE(IF(LEN(DAY(ხელფასები!C12))&gt;1,DAY(ხელფასები!C12),CONCATENATE("0",DAY(ხელფასები!C12))),"/",MONTH(ხელფასები!C12),"/",YEAR(ხელფასები!C12))</f>
        <v>00/1/1900</v>
      </c>
      <c r="L13">
        <f>VLOOKUP(CONCATENATE(ხელფასები!D12,ხელფასები!E12),map!$A$1:$P$102,12,FALSE)</f>
        <v>0</v>
      </c>
      <c r="M13">
        <f>IF(VLOOKUP(CONCATENATE(ხელფასები!D12,ხელფასები!E12),map!$A$1:$P$102,10,FALSE)="0",ხელფასები!F12/0.8*0.2,(ხელფასები!F12/0.8/0.98-ხელფასები!F12/0.8/0.98*0.02)*0.2)</f>
        <v>0</v>
      </c>
      <c r="N13">
        <f>VLOOKUP(CONCATENATE(ხელფასები!D12,ხელფასები!E12),map!$A$1:$P$102,14,FALSE)</f>
        <v>0</v>
      </c>
      <c r="O13">
        <f>VLOOKUP(CONCATENATE(ხელფასები!D12,ხელფასები!E12),map!$A$1:$P$102,15,FALSE)</f>
        <v>0</v>
      </c>
      <c r="P13">
        <f>VLOOKUP(CONCATENATE(ხელფასები!D12,ხელფასები!E12),map!$A$1:$P$102,16,FALSE)</f>
        <v>0</v>
      </c>
    </row>
    <row r="14" spans="1:16">
      <c r="A14">
        <f>VLOOKUP(CONCATENATE(ხელფასები!D13,ხელფასები!E13),map!$A$1:$P$100,2,FALSE)</f>
        <v>0</v>
      </c>
      <c r="B14">
        <f>VLOOKUP(CONCATENATE(ხელფასები!D13,ხელფასები!E13),map!$A$1:$P$120,3,FALSE)</f>
        <v>0</v>
      </c>
      <c r="C14">
        <f>VLOOKUP(CONCATENATE(ხელფასები!D13,ხელფასები!E13),map!$A$1:$P$120,4,FALSE)</f>
        <v>0</v>
      </c>
      <c r="D14">
        <f>VLOOKUP(CONCATENATE(ხელფასები!D13,ხელფასები!E13),map!$A$1:$P$102,5,FALSE)</f>
        <v>0</v>
      </c>
      <c r="E14">
        <f>VLOOKUP(CONCATENATE(ხელფასები!D13,ხელფასები!E13),map!$A$1:$P$102,6,FALSE)</f>
        <v>0</v>
      </c>
      <c r="F14">
        <f>VLOOKUP(CONCATENATE(ხელფასები!D13,ხელფასები!E13),map!$A$1:$P$102,7,FALSE)</f>
        <v>0</v>
      </c>
      <c r="G14">
        <f>VLOOKUP(CONCATENATE(ხელფასები!D13,ხელფასები!E13),map!$A$1:$P$102,8,FALSE)</f>
        <v>0</v>
      </c>
      <c r="H14">
        <f>IF(VLOOKUP(CONCATENATE(ხელფასები!D13,ხელფასები!E13),map!$A$1:$P$102,10,FALSE)="0",ხელფასები!F13/0.8,ხელფასები!F13/0.8/0.98)</f>
        <v>0</v>
      </c>
      <c r="I14" s="5">
        <f>IF(VLOOKUP(CONCATENATE(ხელფასები!D13,ხელფასები!E13),map!$A$1:$P$102,10,FALSE)="0","0",ხელფასები!F13/0.8/0.98*0.02)</f>
        <v>0</v>
      </c>
      <c r="J14" s="5">
        <v>0</v>
      </c>
      <c r="K14" s="4" t="str">
        <f>CONCATENATE(IF(LEN(DAY(ხელფასები!C13))&gt;1,DAY(ხელფასები!C13),CONCATENATE("0",DAY(ხელფასები!C13))),"/",MONTH(ხელფასები!C13),"/",YEAR(ხელფასები!C13))</f>
        <v>00/1/1900</v>
      </c>
      <c r="L14">
        <f>VLOOKUP(CONCATENATE(ხელფასები!D13,ხელფასები!E13),map!$A$1:$P$102,12,FALSE)</f>
        <v>0</v>
      </c>
      <c r="M14">
        <f>IF(VLOOKUP(CONCATENATE(ხელფასები!D13,ხელფასები!E13),map!$A$1:$P$102,10,FALSE)="0",ხელფასები!F13/0.8*0.2,(ხელფასები!F13/0.8/0.98-ხელფასები!F13/0.8/0.98*0.02)*0.2)</f>
        <v>0</v>
      </c>
      <c r="N14">
        <f>VLOOKUP(CONCATENATE(ხელფასები!D13,ხელფასები!E13),map!$A$1:$P$102,14,FALSE)</f>
        <v>0</v>
      </c>
      <c r="O14">
        <f>VLOOKUP(CONCATENATE(ხელფასები!D13,ხელფასები!E13),map!$A$1:$P$102,15,FALSE)</f>
        <v>0</v>
      </c>
      <c r="P14">
        <f>VLOOKUP(CONCATENATE(ხელფასები!D13,ხელფასები!E13),map!$A$1:$P$102,16,FALSE)</f>
        <v>0</v>
      </c>
    </row>
    <row r="15" spans="1:16">
      <c r="A15">
        <f>VLOOKUP(CONCATENATE(ხელფასები!D14,ხელფასები!E14),map!$A$1:$P$100,2,FALSE)</f>
        <v>0</v>
      </c>
      <c r="B15">
        <f>VLOOKUP(CONCATENATE(ხელფასები!D14,ხელფასები!E14),map!$A$1:$P$120,3,FALSE)</f>
        <v>0</v>
      </c>
      <c r="C15">
        <f>VLOOKUP(CONCATENATE(ხელფასები!D14,ხელფასები!E14),map!$A$1:$P$120,4,FALSE)</f>
        <v>0</v>
      </c>
      <c r="D15">
        <f>VLOOKUP(CONCATENATE(ხელფასები!D14,ხელფასები!E14),map!$A$1:$P$102,5,FALSE)</f>
        <v>0</v>
      </c>
      <c r="E15">
        <f>VLOOKUP(CONCATENATE(ხელფასები!D14,ხელფასები!E14),map!$A$1:$P$102,6,FALSE)</f>
        <v>0</v>
      </c>
      <c r="F15">
        <f>VLOOKUP(CONCATENATE(ხელფასები!D14,ხელფასები!E14),map!$A$1:$P$102,7,FALSE)</f>
        <v>0</v>
      </c>
      <c r="G15">
        <f>VLOOKUP(CONCATENATE(ხელფასები!D14,ხელფასები!E14),map!$A$1:$P$102,8,FALSE)</f>
        <v>0</v>
      </c>
      <c r="H15">
        <f>IF(VLOOKUP(CONCATENATE(ხელფასები!D14,ხელფასები!E14),map!$A$1:$P$102,10,FALSE)="0",ხელფასები!F14/0.8,ხელფასები!F14/0.8/0.98)</f>
        <v>0</v>
      </c>
      <c r="I15" s="5">
        <f>IF(VLOOKUP(CONCATENATE(ხელფასები!D14,ხელფასები!E14),map!$A$1:$P$102,10,FALSE)="0","0",ხელფასები!F14/0.8/0.98*0.02)</f>
        <v>0</v>
      </c>
      <c r="J15" s="5">
        <v>0</v>
      </c>
      <c r="K15" s="4" t="str">
        <f>CONCATENATE(IF(LEN(DAY(ხელფასები!C14))&gt;1,DAY(ხელფასები!C14),CONCATENATE("0",DAY(ხელფასები!C14))),"/",MONTH(ხელფასები!C14),"/",YEAR(ხელფასები!C14))</f>
        <v>00/1/1900</v>
      </c>
      <c r="L15">
        <f>VLOOKUP(CONCATENATE(ხელფასები!D14,ხელფასები!E14),map!$A$1:$P$102,12,FALSE)</f>
        <v>0</v>
      </c>
      <c r="M15">
        <f>IF(VLOOKUP(CONCATENATE(ხელფასები!D14,ხელფასები!E14),map!$A$1:$P$102,10,FALSE)="0",ხელფასები!F14/0.8*0.2,(ხელფასები!F14/0.8/0.98-ხელფასები!F14/0.8/0.98*0.02)*0.2)</f>
        <v>0</v>
      </c>
      <c r="N15">
        <f>VLOOKUP(CONCATENATE(ხელფასები!D14,ხელფასები!E14),map!$A$1:$P$102,14,FALSE)</f>
        <v>0</v>
      </c>
      <c r="O15">
        <f>VLOOKUP(CONCATENATE(ხელფასები!D14,ხელფასები!E14),map!$A$1:$P$102,15,FALSE)</f>
        <v>0</v>
      </c>
      <c r="P15">
        <f>VLOOKUP(CONCATENATE(ხელფასები!D14,ხელფასები!E14),map!$A$1:$P$102,16,FALSE)</f>
        <v>0</v>
      </c>
    </row>
    <row r="16" spans="1:16">
      <c r="A16">
        <f>VLOOKUP(CONCATENATE(ხელფასები!D15,ხელფასები!E15),map!$A$1:$P$100,2,FALSE)</f>
        <v>0</v>
      </c>
      <c r="B16">
        <f>VLOOKUP(CONCATENATE(ხელფასები!D15,ხელფასები!E15),map!$A$1:$P$120,3,FALSE)</f>
        <v>0</v>
      </c>
      <c r="C16">
        <f>VLOOKUP(CONCATENATE(ხელფასები!D15,ხელფასები!E15),map!$A$1:$P$120,4,FALSE)</f>
        <v>0</v>
      </c>
      <c r="D16">
        <f>VLOOKUP(CONCATENATE(ხელფასები!D15,ხელფასები!E15),map!$A$1:$P$102,5,FALSE)</f>
        <v>0</v>
      </c>
      <c r="E16">
        <f>VLOOKUP(CONCATENATE(ხელფასები!D15,ხელფასები!E15),map!$A$1:$P$102,6,FALSE)</f>
        <v>0</v>
      </c>
      <c r="F16">
        <f>VLOOKUP(CONCATENATE(ხელფასები!D15,ხელფასები!E15),map!$A$1:$P$102,7,FALSE)</f>
        <v>0</v>
      </c>
      <c r="G16">
        <f>VLOOKUP(CONCATENATE(ხელფასები!D15,ხელფასები!E15),map!$A$1:$P$102,8,FALSE)</f>
        <v>0</v>
      </c>
      <c r="H16">
        <f>IF(VLOOKUP(CONCATENATE(ხელფასები!D15,ხელფასები!E15),map!$A$1:$P$102,10,FALSE)="0",ხელფასები!F15/0.8,ხელფასები!F15/0.8/0.98)</f>
        <v>0</v>
      </c>
      <c r="I16" s="5">
        <f>IF(VLOOKUP(CONCATENATE(ხელფასები!D15,ხელფასები!E15),map!$A$1:$P$102,10,FALSE)="0","0",ხელფასები!F15/0.8/0.98*0.02)</f>
        <v>0</v>
      </c>
      <c r="J16" s="5">
        <v>0</v>
      </c>
      <c r="K16" s="4" t="str">
        <f>CONCATENATE(IF(LEN(DAY(ხელფასები!C15))&gt;1,DAY(ხელფასები!C15),CONCATENATE("0",DAY(ხელფასები!C15))),"/",MONTH(ხელფასები!C15),"/",YEAR(ხელფასები!C15))</f>
        <v>00/1/1900</v>
      </c>
      <c r="L16">
        <f>VLOOKUP(CONCATENATE(ხელფასები!D15,ხელფასები!E15),map!$A$1:$P$102,12,FALSE)</f>
        <v>0</v>
      </c>
      <c r="M16">
        <f>IF(VLOOKUP(CONCATENATE(ხელფასები!D15,ხელფასები!E15),map!$A$1:$P$102,10,FALSE)="0",ხელფასები!F15/0.8*0.2,(ხელფასები!F15/0.8/0.98-ხელფასები!F15/0.8/0.98*0.02)*0.2)</f>
        <v>0</v>
      </c>
      <c r="N16">
        <f>VLOOKUP(CONCATENATE(ხელფასები!D15,ხელფასები!E15),map!$A$1:$P$102,14,FALSE)</f>
        <v>0</v>
      </c>
      <c r="O16">
        <f>VLOOKUP(CONCATENATE(ხელფასები!D15,ხელფასები!E15),map!$A$1:$P$102,15,FALSE)</f>
        <v>0</v>
      </c>
      <c r="P16">
        <f>VLOOKUP(CONCATENATE(ხელფასები!D15,ხელფასები!E15),map!$A$1:$P$102,16,FALSE)</f>
        <v>0</v>
      </c>
    </row>
    <row r="17" spans="1:16">
      <c r="A17">
        <f>VLOOKUP(CONCATENATE(ხელფასები!D16,ხელფასები!E16),map!$A$1:$P$100,2,FALSE)</f>
        <v>0</v>
      </c>
      <c r="B17">
        <f>VLOOKUP(CONCATENATE(ხელფასები!D16,ხელფასები!E16),map!$A$1:$P$120,3,FALSE)</f>
        <v>0</v>
      </c>
      <c r="C17">
        <f>VLOOKUP(CONCATENATE(ხელფასები!D16,ხელფასები!E16),map!$A$1:$P$120,4,FALSE)</f>
        <v>0</v>
      </c>
      <c r="D17">
        <f>VLOOKUP(CONCATENATE(ხელფასები!D16,ხელფასები!E16),map!$A$1:$P$102,5,FALSE)</f>
        <v>0</v>
      </c>
      <c r="E17">
        <f>VLOOKUP(CONCATENATE(ხელფასები!D16,ხელფასები!E16),map!$A$1:$P$102,6,FALSE)</f>
        <v>0</v>
      </c>
      <c r="F17">
        <f>VLOOKUP(CONCATENATE(ხელფასები!D16,ხელფასები!E16),map!$A$1:$P$102,7,FALSE)</f>
        <v>0</v>
      </c>
      <c r="G17">
        <f>VLOOKUP(CONCATENATE(ხელფასები!D16,ხელფასები!E16),map!$A$1:$P$102,8,FALSE)</f>
        <v>0</v>
      </c>
      <c r="H17">
        <f>IF(VLOOKUP(CONCATENATE(ხელფასები!D16,ხელფასები!E16),map!$A$1:$P$102,10,FALSE)="0",ხელფასები!F16/0.8,ხელფასები!F16/0.8/0.98)</f>
        <v>0</v>
      </c>
      <c r="I17" s="5">
        <f>IF(VLOOKUP(CONCATENATE(ხელფასები!D16,ხელფასები!E16),map!$A$1:$P$102,10,FALSE)="0","0",ხელფასები!F16/0.8/0.98*0.02)</f>
        <v>0</v>
      </c>
      <c r="J17" s="5">
        <v>0</v>
      </c>
      <c r="K17" s="4" t="str">
        <f>CONCATENATE(IF(LEN(DAY(ხელფასები!C16))&gt;1,DAY(ხელფასები!C16),CONCATENATE("0",DAY(ხელფასები!C16))),"/",MONTH(ხელფასები!C16),"/",YEAR(ხელფასები!C16))</f>
        <v>00/1/1900</v>
      </c>
      <c r="L17">
        <f>VLOOKUP(CONCATENATE(ხელფასები!D16,ხელფასები!E16),map!$A$1:$P$102,12,FALSE)</f>
        <v>0</v>
      </c>
      <c r="M17">
        <f>IF(VLOOKUP(CONCATENATE(ხელფასები!D16,ხელფასები!E16),map!$A$1:$P$102,10,FALSE)="0",ხელფასები!F16/0.8*0.2,(ხელფასები!F16/0.8/0.98-ხელფასები!F16/0.8/0.98*0.02)*0.2)</f>
        <v>0</v>
      </c>
      <c r="N17">
        <f>VLOOKUP(CONCATENATE(ხელფასები!D16,ხელფასები!E16),map!$A$1:$P$102,14,FALSE)</f>
        <v>0</v>
      </c>
      <c r="O17">
        <f>VLOOKUP(CONCATENATE(ხელფასები!D16,ხელფასები!E16),map!$A$1:$P$102,15,FALSE)</f>
        <v>0</v>
      </c>
      <c r="P17">
        <f>VLOOKUP(CONCATENATE(ხელფასები!D16,ხელფასები!E16),map!$A$1:$P$102,16,FALSE)</f>
        <v>0</v>
      </c>
    </row>
    <row r="18" spans="1:16">
      <c r="A18">
        <f>VLOOKUP(CONCATENATE(ხელფასები!D17,ხელფასები!E17),map!$A$1:$P$100,2,FALSE)</f>
        <v>0</v>
      </c>
      <c r="B18">
        <f>VLOOKUP(CONCATENATE(ხელფასები!D17,ხელფასები!E17),map!$A$1:$P$120,3,FALSE)</f>
        <v>0</v>
      </c>
      <c r="C18">
        <f>VLOOKUP(CONCATENATE(ხელფასები!D17,ხელფასები!E17),map!$A$1:$P$120,4,FALSE)</f>
        <v>0</v>
      </c>
      <c r="D18">
        <f>VLOOKUP(CONCATENATE(ხელფასები!D17,ხელფასები!E17),map!$A$1:$P$102,5,FALSE)</f>
        <v>0</v>
      </c>
      <c r="E18">
        <f>VLOOKUP(CONCATENATE(ხელფასები!D17,ხელფასები!E17),map!$A$1:$P$102,6,FALSE)</f>
        <v>0</v>
      </c>
      <c r="F18">
        <f>VLOOKUP(CONCATENATE(ხელფასები!D17,ხელფასები!E17),map!$A$1:$P$102,7,FALSE)</f>
        <v>0</v>
      </c>
      <c r="G18">
        <f>VLOOKUP(CONCATENATE(ხელფასები!D17,ხელფასები!E17),map!$A$1:$P$102,8,FALSE)</f>
        <v>0</v>
      </c>
      <c r="H18">
        <f>IF(VLOOKUP(CONCATENATE(ხელფასები!D17,ხელფასები!E17),map!$A$1:$P$102,10,FALSE)="0",ხელფასები!F17/0.8,ხელფასები!F17/0.8/0.98)</f>
        <v>0</v>
      </c>
      <c r="I18" s="5">
        <f>IF(VLOOKUP(CONCATENATE(ხელფასები!D17,ხელფასები!E17),map!$A$1:$P$102,10,FALSE)="0","0",ხელფასები!F17/0.8/0.98*0.02)</f>
        <v>0</v>
      </c>
      <c r="J18" s="5">
        <v>0</v>
      </c>
      <c r="K18" s="4" t="str">
        <f>CONCATENATE(IF(LEN(DAY(ხელფასები!C17))&gt;1,DAY(ხელფასები!C17),CONCATENATE("0",DAY(ხელფასები!C17))),"/",MONTH(ხელფასები!C17),"/",YEAR(ხელფასები!C17))</f>
        <v>00/1/1900</v>
      </c>
      <c r="L18">
        <f>VLOOKUP(CONCATENATE(ხელფასები!D17,ხელფასები!E17),map!$A$1:$P$102,12,FALSE)</f>
        <v>0</v>
      </c>
      <c r="M18">
        <f>IF(VLOOKUP(CONCATENATE(ხელფასები!D17,ხელფასები!E17),map!$A$1:$P$102,10,FALSE)="0",ხელფასები!F17/0.8*0.2,(ხელფასები!F17/0.8/0.98-ხელფასები!F17/0.8/0.98*0.02)*0.2)</f>
        <v>0</v>
      </c>
      <c r="N18">
        <f>VLOOKUP(CONCATENATE(ხელფასები!D17,ხელფასები!E17),map!$A$1:$P$102,14,FALSE)</f>
        <v>0</v>
      </c>
      <c r="O18">
        <f>VLOOKUP(CONCATENATE(ხელფასები!D17,ხელფასები!E17),map!$A$1:$P$102,15,FALSE)</f>
        <v>0</v>
      </c>
      <c r="P18">
        <f>VLOOKUP(CONCATENATE(ხელფასები!D17,ხელფასები!E17),map!$A$1:$P$102,16,FALSE)</f>
        <v>0</v>
      </c>
    </row>
    <row r="19" spans="1:16">
      <c r="A19">
        <f>VLOOKUP(CONCATENATE(ხელფასები!D18,ხელფასები!E18),map!$A$1:$P$100,2,FALSE)</f>
        <v>0</v>
      </c>
      <c r="B19">
        <f>VLOOKUP(CONCATENATE(ხელფასები!D18,ხელფასები!E18),map!$A$1:$P$120,3,FALSE)</f>
        <v>0</v>
      </c>
      <c r="C19">
        <f>VLOOKUP(CONCATENATE(ხელფასები!D18,ხელფასები!E18),map!$A$1:$P$120,4,FALSE)</f>
        <v>0</v>
      </c>
      <c r="D19">
        <f>VLOOKUP(CONCATENATE(ხელფასები!D18,ხელფასები!E18),map!$A$1:$P$102,5,FALSE)</f>
        <v>0</v>
      </c>
      <c r="E19">
        <f>VLOOKUP(CONCATENATE(ხელფასები!D18,ხელფასები!E18),map!$A$1:$P$102,6,FALSE)</f>
        <v>0</v>
      </c>
      <c r="F19">
        <f>VLOOKUP(CONCATENATE(ხელფასები!D18,ხელფასები!E18),map!$A$1:$P$102,7,FALSE)</f>
        <v>0</v>
      </c>
      <c r="G19">
        <f>VLOOKUP(CONCATENATE(ხელფასები!D18,ხელფასები!E18),map!$A$1:$P$102,8,FALSE)</f>
        <v>0</v>
      </c>
      <c r="H19">
        <f>IF(VLOOKUP(CONCATENATE(ხელფასები!D18,ხელფასები!E18),map!$A$1:$P$102,10,FALSE)="0",ხელფასები!F18/0.8,ხელფასები!F18/0.8/0.98)</f>
        <v>0</v>
      </c>
      <c r="I19" s="5">
        <f>IF(VLOOKUP(CONCATENATE(ხელფასები!D18,ხელფასები!E18),map!$A$1:$P$102,10,FALSE)="0","0",ხელფასები!F18/0.8/0.98*0.02)</f>
        <v>0</v>
      </c>
      <c r="J19" s="5">
        <v>0</v>
      </c>
      <c r="K19" s="4" t="str">
        <f>CONCATENATE(IF(LEN(DAY(ხელფასები!C18))&gt;1,DAY(ხელფასები!C18),CONCATENATE("0",DAY(ხელფასები!C18))),"/",MONTH(ხელფასები!C18),"/",YEAR(ხელფასები!C18))</f>
        <v>00/1/1900</v>
      </c>
      <c r="L19">
        <f>VLOOKUP(CONCATENATE(ხელფასები!D18,ხელფასები!E18),map!$A$1:$P$102,12,FALSE)</f>
        <v>0</v>
      </c>
      <c r="M19">
        <f>IF(VLOOKUP(CONCATENATE(ხელფასები!D18,ხელფასები!E18),map!$A$1:$P$102,10,FALSE)="0",ხელფასები!F18/0.8*0.2,(ხელფასები!F18/0.8/0.98-ხელფასები!F18/0.8/0.98*0.02)*0.2)</f>
        <v>0</v>
      </c>
      <c r="N19">
        <f>VLOOKUP(CONCATENATE(ხელფასები!D18,ხელფასები!E18),map!$A$1:$P$102,14,FALSE)</f>
        <v>0</v>
      </c>
      <c r="O19">
        <f>VLOOKUP(CONCATENATE(ხელფასები!D18,ხელფასები!E18),map!$A$1:$P$102,15,FALSE)</f>
        <v>0</v>
      </c>
      <c r="P19">
        <f>VLOOKUP(CONCATENATE(ხელფასები!D18,ხელფასები!E18),map!$A$1:$P$102,16,FALSE)</f>
        <v>0</v>
      </c>
    </row>
    <row r="20" spans="1:16">
      <c r="A20">
        <f>VLOOKUP(CONCATENATE(ხელფასები!D19,ხელფასები!E19),map!$A$1:$P$100,2,FALSE)</f>
        <v>0</v>
      </c>
      <c r="B20">
        <f>VLOOKUP(CONCATENATE(ხელფასები!D19,ხელფასები!E19),map!$A$1:$P$120,3,FALSE)</f>
        <v>0</v>
      </c>
      <c r="C20">
        <f>VLOOKUP(CONCATENATE(ხელფასები!D19,ხელფასები!E19),map!$A$1:$P$120,4,FALSE)</f>
        <v>0</v>
      </c>
      <c r="D20">
        <f>VLOOKUP(CONCATENATE(ხელფასები!D19,ხელფასები!E19),map!$A$1:$P$102,5,FALSE)</f>
        <v>0</v>
      </c>
      <c r="E20">
        <f>VLOOKUP(CONCATENATE(ხელფასები!D19,ხელფასები!E19),map!$A$1:$P$102,6,FALSE)</f>
        <v>0</v>
      </c>
      <c r="F20">
        <f>VLOOKUP(CONCATENATE(ხელფასები!D19,ხელფასები!E19),map!$A$1:$P$102,7,FALSE)</f>
        <v>0</v>
      </c>
      <c r="G20">
        <f>VLOOKUP(CONCATENATE(ხელფასები!D19,ხელფასები!E19),map!$A$1:$P$102,8,FALSE)</f>
        <v>0</v>
      </c>
      <c r="H20">
        <f>IF(VLOOKUP(CONCATENATE(ხელფასები!D19,ხელფასები!E19),map!$A$1:$P$102,10,FALSE)="0",ხელფასები!F19/0.8,ხელფასები!F19/0.8/0.98)</f>
        <v>0</v>
      </c>
      <c r="I20" s="5">
        <f>IF(VLOOKUP(CONCATENATE(ხელფასები!D19,ხელფასები!E19),map!$A$1:$P$102,10,FALSE)="0","0",ხელფასები!F19/0.8/0.98*0.02)</f>
        <v>0</v>
      </c>
      <c r="J20" s="5">
        <v>0</v>
      </c>
      <c r="K20" s="4" t="str">
        <f>CONCATENATE(IF(LEN(DAY(ხელფასები!C19))&gt;1,DAY(ხელფასები!C19),CONCATENATE("0",DAY(ხელფასები!C19))),"/",MONTH(ხელფასები!C19),"/",YEAR(ხელფასები!C19))</f>
        <v>00/1/1900</v>
      </c>
      <c r="L20">
        <f>VLOOKUP(CONCATENATE(ხელფასები!D19,ხელფასები!E19),map!$A$1:$P$102,12,FALSE)</f>
        <v>0</v>
      </c>
      <c r="M20">
        <f>IF(VLOOKUP(CONCATENATE(ხელფასები!D19,ხელფასები!E19),map!$A$1:$P$102,10,FALSE)="0",ხელფასები!F19/0.8*0.2,(ხელფასები!F19/0.8/0.98-ხელფასები!F19/0.8/0.98*0.02)*0.2)</f>
        <v>0</v>
      </c>
      <c r="N20">
        <f>VLOOKUP(CONCATENATE(ხელფასები!D19,ხელფასები!E19),map!$A$1:$P$102,14,FALSE)</f>
        <v>0</v>
      </c>
      <c r="O20">
        <f>VLOOKUP(CONCATENATE(ხელფასები!D19,ხელფასები!E19),map!$A$1:$P$102,15,FALSE)</f>
        <v>0</v>
      </c>
      <c r="P20">
        <f>VLOOKUP(CONCATENATE(ხელფასები!D19,ხელფასები!E19),map!$A$1:$P$102,16,FALSE)</f>
        <v>0</v>
      </c>
    </row>
    <row r="21" spans="1:16">
      <c r="A21">
        <f>VLOOKUP(CONCATENATE(ხელფასები!D20,ხელფასები!E20),map!$A$1:$P$100,2,FALSE)</f>
        <v>0</v>
      </c>
      <c r="B21">
        <f>VLOOKUP(CONCATENATE(ხელფასები!D20,ხელფასები!E20),map!$A$1:$P$120,3,FALSE)</f>
        <v>0</v>
      </c>
      <c r="C21">
        <f>VLOOKUP(CONCATENATE(ხელფასები!D20,ხელფასები!E20),map!$A$1:$P$120,4,FALSE)</f>
        <v>0</v>
      </c>
      <c r="D21">
        <f>VLOOKUP(CONCATENATE(ხელფასები!D20,ხელფასები!E20),map!$A$1:$P$102,5,FALSE)</f>
        <v>0</v>
      </c>
      <c r="E21">
        <f>VLOOKUP(CONCATENATE(ხელფასები!D20,ხელფასები!E20),map!$A$1:$P$102,6,FALSE)</f>
        <v>0</v>
      </c>
      <c r="F21">
        <f>VLOOKUP(CONCATENATE(ხელფასები!D20,ხელფასები!E20),map!$A$1:$P$102,7,FALSE)</f>
        <v>0</v>
      </c>
      <c r="G21">
        <f>VLOOKUP(CONCATENATE(ხელფასები!D20,ხელფასები!E20),map!$A$1:$P$102,8,FALSE)</f>
        <v>0</v>
      </c>
      <c r="H21">
        <f>IF(VLOOKUP(CONCATENATE(ხელფასები!D20,ხელფასები!E20),map!$A$1:$P$102,10,FALSE)="0",ხელფასები!F20/0.8,ხელფასები!F20/0.8/0.98)</f>
        <v>0</v>
      </c>
      <c r="I21" s="5">
        <f>IF(VLOOKUP(CONCATENATE(ხელფასები!D20,ხელფასები!E20),map!$A$1:$P$102,10,FALSE)="0","0",ხელფასები!F20/0.8/0.98*0.02)</f>
        <v>0</v>
      </c>
      <c r="J21" s="5">
        <v>0</v>
      </c>
      <c r="K21" s="4" t="str">
        <f>CONCATENATE(IF(LEN(DAY(ხელფასები!C20))&gt;1,DAY(ხელფასები!C20),CONCATENATE("0",DAY(ხელფასები!C20))),"/",MONTH(ხელფასები!C20),"/",YEAR(ხელფასები!C20))</f>
        <v>00/1/1900</v>
      </c>
      <c r="L21">
        <f>VLOOKUP(CONCATENATE(ხელფასები!D20,ხელფასები!E20),map!$A$1:$P$102,12,FALSE)</f>
        <v>0</v>
      </c>
      <c r="M21">
        <f>IF(VLOOKUP(CONCATENATE(ხელფასები!D20,ხელფასები!E20),map!$A$1:$P$102,10,FALSE)="0",ხელფასები!F20/0.8*0.2,(ხელფასები!F20/0.8/0.98-ხელფასები!F20/0.8/0.98*0.02)*0.2)</f>
        <v>0</v>
      </c>
      <c r="N21">
        <f>VLOOKUP(CONCATENATE(ხელფასები!D20,ხელფასები!E20),map!$A$1:$P$102,14,FALSE)</f>
        <v>0</v>
      </c>
      <c r="O21">
        <f>VLOOKUP(CONCATENATE(ხელფასები!D20,ხელფასები!E20),map!$A$1:$P$102,15,FALSE)</f>
        <v>0</v>
      </c>
      <c r="P21">
        <f>VLOOKUP(CONCATENATE(ხელფასები!D20,ხელფასები!E20),map!$A$1:$P$102,16,FALSE)</f>
        <v>0</v>
      </c>
    </row>
    <row r="22" spans="1:16">
      <c r="A22">
        <f>VLOOKUP(CONCATENATE(ხელფასები!D21,ხელფასები!E21),map!$A$1:$P$100,2,FALSE)</f>
        <v>0</v>
      </c>
      <c r="B22">
        <f>VLOOKUP(CONCATENATE(ხელფასები!D21,ხელფასები!E21),map!$A$1:$P$120,3,FALSE)</f>
        <v>0</v>
      </c>
      <c r="C22">
        <f>VLOOKUP(CONCATENATE(ხელფასები!D21,ხელფასები!E21),map!$A$1:$P$120,4,FALSE)</f>
        <v>0</v>
      </c>
      <c r="D22">
        <f>VLOOKUP(CONCATENATE(ხელფასები!D21,ხელფასები!E21),map!$A$1:$P$102,5,FALSE)</f>
        <v>0</v>
      </c>
      <c r="E22">
        <f>VLOOKUP(CONCATENATE(ხელფასები!D21,ხელფასები!E21),map!$A$1:$P$102,6,FALSE)</f>
        <v>0</v>
      </c>
      <c r="F22">
        <f>VLOOKUP(CONCATENATE(ხელფასები!D21,ხელფასები!E21),map!$A$1:$P$102,7,FALSE)</f>
        <v>0</v>
      </c>
      <c r="G22">
        <f>VLOOKUP(CONCATENATE(ხელფასები!D21,ხელფასები!E21),map!$A$1:$P$102,8,FALSE)</f>
        <v>0</v>
      </c>
      <c r="H22">
        <f>IF(VLOOKUP(CONCATENATE(ხელფასები!D21,ხელფასები!E21),map!$A$1:$P$102,10,FALSE)="0",ხელფასები!F21/0.8,ხელფასები!F21/0.8/0.98)</f>
        <v>0</v>
      </c>
      <c r="I22" s="5">
        <f>IF(VLOOKUP(CONCATENATE(ხელფასები!D21,ხელფასები!E21),map!$A$1:$P$102,10,FALSE)="0","0",ხელფასები!F21/0.8/0.98*0.02)</f>
        <v>0</v>
      </c>
      <c r="J22" s="5">
        <v>0</v>
      </c>
      <c r="K22" s="4" t="str">
        <f>CONCATENATE(IF(LEN(DAY(ხელფასები!C21))&gt;1,DAY(ხელფასები!C21),CONCATENATE("0",DAY(ხელფასები!C21))),"/",MONTH(ხელფასები!C21),"/",YEAR(ხელფასები!C21))</f>
        <v>00/1/1900</v>
      </c>
      <c r="L22">
        <f>VLOOKUP(CONCATENATE(ხელფასები!D21,ხელფასები!E21),map!$A$1:$P$102,12,FALSE)</f>
        <v>0</v>
      </c>
      <c r="M22">
        <f>IF(VLOOKUP(CONCATENATE(ხელფასები!D21,ხელფასები!E21),map!$A$1:$P$102,10,FALSE)="0",ხელფასები!F21/0.8*0.2,(ხელფასები!F21/0.8/0.98-ხელფასები!F21/0.8/0.98*0.02)*0.2)</f>
        <v>0</v>
      </c>
      <c r="N22">
        <f>VLOOKUP(CONCATENATE(ხელფასები!D21,ხელფასები!E21),map!$A$1:$P$102,14,FALSE)</f>
        <v>0</v>
      </c>
      <c r="O22">
        <f>VLOOKUP(CONCATENATE(ხელფასები!D21,ხელფასები!E21),map!$A$1:$P$102,15,FALSE)</f>
        <v>0</v>
      </c>
      <c r="P22">
        <f>VLOOKUP(CONCATENATE(ხელფასები!D21,ხელფასები!E21),map!$A$1:$P$102,16,FALSE)</f>
        <v>0</v>
      </c>
    </row>
    <row r="23" spans="1:16">
      <c r="A23">
        <f>VLOOKUP(CONCATENATE(ხელფასები!D22,ხელფასები!E22),map!$A$1:$P$100,2,FALSE)</f>
        <v>0</v>
      </c>
      <c r="B23">
        <f>VLOOKUP(CONCATENATE(ხელფასები!D22,ხელფასები!E22),map!$A$1:$P$120,3,FALSE)</f>
        <v>0</v>
      </c>
      <c r="C23">
        <f>VLOOKUP(CONCATENATE(ხელფასები!D22,ხელფასები!E22),map!$A$1:$P$120,4,FALSE)</f>
        <v>0</v>
      </c>
      <c r="D23">
        <f>VLOOKUP(CONCATENATE(ხელფასები!D22,ხელფასები!E22),map!$A$1:$P$102,5,FALSE)</f>
        <v>0</v>
      </c>
      <c r="E23">
        <f>VLOOKUP(CONCATENATE(ხელფასები!D22,ხელფასები!E22),map!$A$1:$P$102,6,FALSE)</f>
        <v>0</v>
      </c>
      <c r="F23">
        <f>VLOOKUP(CONCATENATE(ხელფასები!D22,ხელფასები!E22),map!$A$1:$P$102,7,FALSE)</f>
        <v>0</v>
      </c>
      <c r="G23">
        <f>VLOOKUP(CONCATENATE(ხელფასები!D22,ხელფასები!E22),map!$A$1:$P$102,8,FALSE)</f>
        <v>0</v>
      </c>
      <c r="H23">
        <f>IF(VLOOKUP(CONCATENATE(ხელფასები!D22,ხელფასები!E22),map!$A$1:$P$102,10,FALSE)="0",ხელფასები!F22/0.8,ხელფასები!F22/0.8/0.98)</f>
        <v>0</v>
      </c>
      <c r="I23" s="5">
        <f>IF(VLOOKUP(CONCATENATE(ხელფასები!D22,ხელფასები!E22),map!$A$1:$P$102,10,FALSE)="0","0",ხელფასები!F22/0.8/0.98*0.02)</f>
        <v>0</v>
      </c>
      <c r="J23" s="5">
        <v>0</v>
      </c>
      <c r="K23" s="4" t="str">
        <f>CONCATENATE(IF(LEN(DAY(ხელფასები!C22))&gt;1,DAY(ხელფასები!C22),CONCATENATE("0",DAY(ხელფასები!C22))),"/",MONTH(ხელფასები!C22),"/",YEAR(ხელფასები!C22))</f>
        <v>00/1/1900</v>
      </c>
      <c r="L23">
        <f>VLOOKUP(CONCATENATE(ხელფასები!D22,ხელფასები!E22),map!$A$1:$P$102,12,FALSE)</f>
        <v>0</v>
      </c>
      <c r="M23">
        <f>IF(VLOOKUP(CONCATENATE(ხელფასები!D22,ხელფასები!E22),map!$A$1:$P$102,10,FALSE)="0",ხელფასები!F22/0.8*0.2,(ხელფასები!F22/0.8/0.98-ხელფასები!F22/0.8/0.98*0.02)*0.2)</f>
        <v>0</v>
      </c>
      <c r="N23">
        <f>VLOOKUP(CONCATENATE(ხელფასები!D22,ხელფასები!E22),map!$A$1:$P$102,14,FALSE)</f>
        <v>0</v>
      </c>
      <c r="O23">
        <f>VLOOKUP(CONCATENATE(ხელფასები!D22,ხელფასები!E22),map!$A$1:$P$102,15,FALSE)</f>
        <v>0</v>
      </c>
      <c r="P23">
        <f>VLOOKUP(CONCATENATE(ხელფასები!D22,ხელფასები!E22),map!$A$1:$P$102,16,FALSE)</f>
        <v>0</v>
      </c>
    </row>
    <row r="24" spans="1:16">
      <c r="A24">
        <f>VLOOKUP(CONCATENATE(ხელფასები!D23,ხელფასები!E23),map!$A$1:$P$100,2,FALSE)</f>
        <v>0</v>
      </c>
      <c r="B24">
        <f>VLOOKUP(CONCATENATE(ხელფასები!D23,ხელფასები!E23),map!$A$1:$P$120,3,FALSE)</f>
        <v>0</v>
      </c>
      <c r="C24">
        <f>VLOOKUP(CONCATENATE(ხელფასები!D23,ხელფასები!E23),map!$A$1:$P$120,4,FALSE)</f>
        <v>0</v>
      </c>
      <c r="D24">
        <f>VLOOKUP(CONCATENATE(ხელფასები!D23,ხელფასები!E23),map!$A$1:$P$102,5,FALSE)</f>
        <v>0</v>
      </c>
      <c r="E24">
        <f>VLOOKUP(CONCATENATE(ხელფასები!D23,ხელფასები!E23),map!$A$1:$P$102,6,FALSE)</f>
        <v>0</v>
      </c>
      <c r="F24">
        <f>VLOOKUP(CONCATENATE(ხელფასები!D23,ხელფასები!E23),map!$A$1:$P$102,7,FALSE)</f>
        <v>0</v>
      </c>
      <c r="G24">
        <f>VLOOKUP(CONCATENATE(ხელფასები!D23,ხელფასები!E23),map!$A$1:$P$102,8,FALSE)</f>
        <v>0</v>
      </c>
      <c r="H24">
        <f>IF(VLOOKUP(CONCATENATE(ხელფასები!D23,ხელფასები!E23),map!$A$1:$P$102,10,FALSE)="0",ხელფასები!F23/0.8,ხელფასები!F23/0.8/0.98)</f>
        <v>0</v>
      </c>
      <c r="I24" s="5">
        <f>IF(VLOOKUP(CONCATENATE(ხელფასები!D23,ხელფასები!E23),map!$A$1:$P$102,10,FALSE)="0","0",ხელფასები!F23/0.8/0.98*0.02)</f>
        <v>0</v>
      </c>
      <c r="J24" s="5">
        <v>0</v>
      </c>
      <c r="K24" s="4" t="str">
        <f>CONCATENATE(IF(LEN(DAY(ხელფასები!C23))&gt;1,DAY(ხელფასები!C23),CONCATENATE("0",DAY(ხელფასები!C23))),"/",MONTH(ხელფასები!C23),"/",YEAR(ხელფასები!C23))</f>
        <v>00/1/1900</v>
      </c>
      <c r="L24">
        <f>VLOOKUP(CONCATENATE(ხელფასები!D23,ხელფასები!E23),map!$A$1:$P$102,12,FALSE)</f>
        <v>0</v>
      </c>
      <c r="M24">
        <f>IF(VLOOKUP(CONCATENATE(ხელფასები!D23,ხელფასები!E23),map!$A$1:$P$102,10,FALSE)="0",ხელფასები!F23/0.8*0.2,(ხელფასები!F23/0.8/0.98-ხელფასები!F23/0.8/0.98*0.02)*0.2)</f>
        <v>0</v>
      </c>
      <c r="N24">
        <f>VLOOKUP(CONCATENATE(ხელფასები!D23,ხელფასები!E23),map!$A$1:$P$102,14,FALSE)</f>
        <v>0</v>
      </c>
      <c r="O24">
        <f>VLOOKUP(CONCATENATE(ხელფასები!D23,ხელფასები!E23),map!$A$1:$P$102,15,FALSE)</f>
        <v>0</v>
      </c>
      <c r="P24">
        <f>VLOOKUP(CONCATENATE(ხელფასები!D23,ხელფასები!E23),map!$A$1:$P$102,16,FALSE)</f>
        <v>0</v>
      </c>
    </row>
    <row r="25" spans="1:16">
      <c r="A25">
        <f>VLOOKUP(CONCATENATE(ხელფასები!D24,ხელფასები!E24),map!$A$1:$P$100,2,FALSE)</f>
        <v>0</v>
      </c>
      <c r="B25">
        <f>VLOOKUP(CONCATENATE(ხელფასები!D24,ხელფასები!E24),map!$A$1:$P$120,3,FALSE)</f>
        <v>0</v>
      </c>
      <c r="C25">
        <f>VLOOKUP(CONCATENATE(ხელფასები!D24,ხელფასები!E24),map!$A$1:$P$120,4,FALSE)</f>
        <v>0</v>
      </c>
      <c r="D25">
        <f>VLOOKUP(CONCATENATE(ხელფასები!D24,ხელფასები!E24),map!$A$1:$P$102,5,FALSE)</f>
        <v>0</v>
      </c>
      <c r="E25">
        <f>VLOOKUP(CONCATENATE(ხელფასები!D24,ხელფასები!E24),map!$A$1:$P$102,6,FALSE)</f>
        <v>0</v>
      </c>
      <c r="F25">
        <f>VLOOKUP(CONCATENATE(ხელფასები!D24,ხელფასები!E24),map!$A$1:$P$102,7,FALSE)</f>
        <v>0</v>
      </c>
      <c r="G25">
        <f>VLOOKUP(CONCATENATE(ხელფასები!D24,ხელფასები!E24),map!$A$1:$P$102,8,FALSE)</f>
        <v>0</v>
      </c>
      <c r="H25">
        <f>IF(VLOOKUP(CONCATENATE(ხელფასები!D24,ხელფასები!E24),map!$A$1:$P$102,10,FALSE)="0",ხელფასები!F24/0.8,ხელფასები!F24/0.8/0.98)</f>
        <v>0</v>
      </c>
      <c r="I25" s="5">
        <f>IF(VLOOKUP(CONCATENATE(ხელფასები!D24,ხელფასები!E24),map!$A$1:$P$102,10,FALSE)="0","0",ხელფასები!F24/0.8/0.98*0.02)</f>
        <v>0</v>
      </c>
      <c r="J25" s="5">
        <v>0</v>
      </c>
      <c r="K25" s="4" t="str">
        <f>CONCATENATE(IF(LEN(DAY(ხელფასები!C24))&gt;1,DAY(ხელფასები!C24),CONCATENATE("0",DAY(ხელფასები!C24))),"/",MONTH(ხელფასები!C24),"/",YEAR(ხელფასები!C24))</f>
        <v>00/1/1900</v>
      </c>
      <c r="L25">
        <f>VLOOKUP(CONCATENATE(ხელფასები!D24,ხელფასები!E24),map!$A$1:$P$102,12,FALSE)</f>
        <v>0</v>
      </c>
      <c r="M25">
        <f>IF(VLOOKUP(CONCATENATE(ხელფასები!D24,ხელფასები!E24),map!$A$1:$P$102,10,FALSE)="0",ხელფასები!F24/0.8*0.2,(ხელფასები!F24/0.8/0.98-ხელფასები!F24/0.8/0.98*0.02)*0.2)</f>
        <v>0</v>
      </c>
      <c r="N25">
        <f>VLOOKUP(CONCATENATE(ხელფასები!D24,ხელფასები!E24),map!$A$1:$P$102,14,FALSE)</f>
        <v>0</v>
      </c>
      <c r="O25">
        <f>VLOOKUP(CONCATENATE(ხელფასები!D24,ხელფასები!E24),map!$A$1:$P$102,15,FALSE)</f>
        <v>0</v>
      </c>
      <c r="P25">
        <f>VLOOKUP(CONCATENATE(ხელფასები!D24,ხელფასები!E24),map!$A$1:$P$102,16,FALSE)</f>
        <v>0</v>
      </c>
    </row>
    <row r="26" spans="1:16">
      <c r="A26">
        <f>VLOOKUP(CONCATENATE(ხელფასები!D25,ხელფასები!E25),map!$A$1:$P$100,2,FALSE)</f>
        <v>0</v>
      </c>
      <c r="B26">
        <f>VLOOKUP(CONCATENATE(ხელფასები!D25,ხელფასები!E25),map!$A$1:$P$120,3,FALSE)</f>
        <v>0</v>
      </c>
      <c r="C26">
        <f>VLOOKUP(CONCATENATE(ხელფასები!D25,ხელფასები!E25),map!$A$1:$P$120,4,FALSE)</f>
        <v>0</v>
      </c>
      <c r="D26">
        <f>VLOOKUP(CONCATENATE(ხელფასები!D25,ხელფასები!E25),map!$A$1:$P$102,5,FALSE)</f>
        <v>0</v>
      </c>
      <c r="E26">
        <f>VLOOKUP(CONCATENATE(ხელფასები!D25,ხელფასები!E25),map!$A$1:$P$102,6,FALSE)</f>
        <v>0</v>
      </c>
      <c r="F26">
        <f>VLOOKUP(CONCATENATE(ხელფასები!D25,ხელფასები!E25),map!$A$1:$P$102,7,FALSE)</f>
        <v>0</v>
      </c>
      <c r="G26">
        <f>VLOOKUP(CONCATENATE(ხელფასები!D25,ხელფასები!E25),map!$A$1:$P$102,8,FALSE)</f>
        <v>0</v>
      </c>
      <c r="H26">
        <f>IF(VLOOKUP(CONCATENATE(ხელფასები!D25,ხელფასები!E25),map!$A$1:$P$102,10,FALSE)="0",ხელფასები!F25/0.8,ხელფასები!F25/0.8/0.98)</f>
        <v>0</v>
      </c>
      <c r="I26" s="5">
        <f>IF(VLOOKUP(CONCATENATE(ხელფასები!D25,ხელფასები!E25),map!$A$1:$P$102,10,FALSE)="0","0",ხელფასები!F25/0.8/0.98*0.02)</f>
        <v>0</v>
      </c>
      <c r="J26" s="5">
        <v>0</v>
      </c>
      <c r="K26" s="4" t="str">
        <f>CONCATENATE(IF(LEN(DAY(ხელფასები!C25))&gt;1,DAY(ხელფასები!C25),CONCATENATE("0",DAY(ხელფასები!C25))),"/",MONTH(ხელფასები!C25),"/",YEAR(ხელფასები!C25))</f>
        <v>00/1/1900</v>
      </c>
      <c r="L26">
        <f>VLOOKUP(CONCATENATE(ხელფასები!D25,ხელფასები!E25),map!$A$1:$P$102,12,FALSE)</f>
        <v>0</v>
      </c>
      <c r="M26">
        <f>IF(VLOOKUP(CONCATENATE(ხელფასები!D25,ხელფასები!E25),map!$A$1:$P$102,10,FALSE)="0",ხელფასები!F25/0.8*0.2,(ხელფასები!F25/0.8/0.98-ხელფასები!F25/0.8/0.98*0.02)*0.2)</f>
        <v>0</v>
      </c>
      <c r="N26">
        <f>VLOOKUP(CONCATENATE(ხელფასები!D25,ხელფასები!E25),map!$A$1:$P$102,14,FALSE)</f>
        <v>0</v>
      </c>
      <c r="O26">
        <f>VLOOKUP(CONCATENATE(ხელფასები!D25,ხელფასები!E25),map!$A$1:$P$102,15,FALSE)</f>
        <v>0</v>
      </c>
      <c r="P26">
        <f>VLOOKUP(CONCATENATE(ხელფასები!D25,ხელფასები!E25),map!$A$1:$P$102,16,FALSE)</f>
        <v>0</v>
      </c>
    </row>
    <row r="27" spans="1:16">
      <c r="A27">
        <f>VLOOKUP(CONCATENATE(ხელფასები!D26,ხელფასები!E26),map!$A$1:$P$100,2,FALSE)</f>
        <v>0</v>
      </c>
      <c r="B27">
        <f>VLOOKUP(CONCATENATE(ხელფასები!D26,ხელფასები!E26),map!$A$1:$P$120,3,FALSE)</f>
        <v>0</v>
      </c>
      <c r="C27">
        <f>VLOOKUP(CONCATENATE(ხელფასები!D26,ხელფასები!E26),map!$A$1:$P$120,4,FALSE)</f>
        <v>0</v>
      </c>
      <c r="D27">
        <f>VLOOKUP(CONCATENATE(ხელფასები!D26,ხელფასები!E26),map!$A$1:$P$102,5,FALSE)</f>
        <v>0</v>
      </c>
      <c r="E27">
        <f>VLOOKUP(CONCATENATE(ხელფასები!D26,ხელფასები!E26),map!$A$1:$P$102,6,FALSE)</f>
        <v>0</v>
      </c>
      <c r="F27">
        <f>VLOOKUP(CONCATENATE(ხელფასები!D26,ხელფასები!E26),map!$A$1:$P$102,7,FALSE)</f>
        <v>0</v>
      </c>
      <c r="G27">
        <f>VLOOKUP(CONCATENATE(ხელფასები!D26,ხელფასები!E26),map!$A$1:$P$102,8,FALSE)</f>
        <v>0</v>
      </c>
      <c r="H27">
        <f>IF(VLOOKUP(CONCATENATE(ხელფასები!D26,ხელფასები!E26),map!$A$1:$P$102,10,FALSE)="0",ხელფასები!F26/0.8,ხელფასები!F26/0.8/0.98)</f>
        <v>0</v>
      </c>
      <c r="I27" s="5">
        <f>IF(VLOOKUP(CONCATENATE(ხელფასები!D26,ხელფასები!E26),map!$A$1:$P$102,10,FALSE)="0","0",ხელფასები!F26/0.8/0.98*0.02)</f>
        <v>0</v>
      </c>
      <c r="J27" s="5">
        <v>0</v>
      </c>
      <c r="K27" s="4" t="str">
        <f>CONCATENATE(IF(LEN(DAY(ხელფასები!C26))&gt;1,DAY(ხელფასები!C26),CONCATENATE("0",DAY(ხელფასები!C26))),"/",MONTH(ხელფასები!C26),"/",YEAR(ხელფასები!C26))</f>
        <v>00/1/1900</v>
      </c>
      <c r="L27">
        <f>VLOOKUP(CONCATENATE(ხელფასები!D26,ხელფასები!E26),map!$A$1:$P$102,12,FALSE)</f>
        <v>0</v>
      </c>
      <c r="M27">
        <f>IF(VLOOKUP(CONCATENATE(ხელფასები!D26,ხელფასები!E26),map!$A$1:$P$102,10,FALSE)="0",ხელფასები!F26/0.8*0.2,(ხელფასები!F26/0.8/0.98-ხელფასები!F26/0.8/0.98*0.02)*0.2)</f>
        <v>0</v>
      </c>
      <c r="N27">
        <f>VLOOKUP(CONCATENATE(ხელფასები!D26,ხელფასები!E26),map!$A$1:$P$102,14,FALSE)</f>
        <v>0</v>
      </c>
      <c r="O27">
        <f>VLOOKUP(CONCATENATE(ხელფასები!D26,ხელფასები!E26),map!$A$1:$P$102,15,FALSE)</f>
        <v>0</v>
      </c>
      <c r="P27">
        <f>VLOOKUP(CONCATENATE(ხელფასები!D26,ხელფასები!E26),map!$A$1:$P$102,16,FALSE)</f>
        <v>0</v>
      </c>
    </row>
    <row r="28" spans="1:16">
      <c r="A28">
        <f>VLOOKUP(CONCATENATE(ხელფასები!D27,ხელფასები!E27),map!$A$1:$P$100,2,FALSE)</f>
        <v>0</v>
      </c>
      <c r="B28">
        <f>VLOOKUP(CONCATENATE(ხელფასები!D27,ხელფასები!E27),map!$A$1:$P$120,3,FALSE)</f>
        <v>0</v>
      </c>
      <c r="C28">
        <f>VLOOKUP(CONCATENATE(ხელფასები!D27,ხელფასები!E27),map!$A$1:$P$120,4,FALSE)</f>
        <v>0</v>
      </c>
      <c r="D28">
        <f>VLOOKUP(CONCATENATE(ხელფასები!D27,ხელფასები!E27),map!$A$1:$P$102,5,FALSE)</f>
        <v>0</v>
      </c>
      <c r="E28">
        <f>VLOOKUP(CONCATENATE(ხელფასები!D27,ხელფასები!E27),map!$A$1:$P$102,6,FALSE)</f>
        <v>0</v>
      </c>
      <c r="F28">
        <f>VLOOKUP(CONCATENATE(ხელფასები!D27,ხელფასები!E27),map!$A$1:$P$102,7,FALSE)</f>
        <v>0</v>
      </c>
      <c r="G28">
        <f>VLOOKUP(CONCATENATE(ხელფასები!D27,ხელფასები!E27),map!$A$1:$P$102,8,FALSE)</f>
        <v>0</v>
      </c>
      <c r="H28">
        <f>IF(VLOOKUP(CONCATENATE(ხელფასები!D27,ხელფასები!E27),map!$A$1:$P$102,10,FALSE)="0",ხელფასები!F27/0.8,ხელფასები!F27/0.8/0.98)</f>
        <v>0</v>
      </c>
      <c r="I28" s="5">
        <f>IF(VLOOKUP(CONCATENATE(ხელფასები!D27,ხელფასები!E27),map!$A$1:$P$102,10,FALSE)="0","0",ხელფასები!F27/0.8/0.98*0.02)</f>
        <v>0</v>
      </c>
      <c r="J28" s="5">
        <v>0</v>
      </c>
      <c r="K28" s="4" t="str">
        <f>CONCATENATE(IF(LEN(DAY(ხელფასები!C27))&gt;1,DAY(ხელფასები!C27),CONCATENATE("0",DAY(ხელფასები!C27))),"/",MONTH(ხელფასები!C27),"/",YEAR(ხელფასები!C27))</f>
        <v>00/1/1900</v>
      </c>
      <c r="L28">
        <f>VLOOKUP(CONCATENATE(ხელფასები!D27,ხელფასები!E27),map!$A$1:$P$102,12,FALSE)</f>
        <v>0</v>
      </c>
      <c r="M28">
        <f>IF(VLOOKUP(CONCATENATE(ხელფასები!D27,ხელფასები!E27),map!$A$1:$P$102,10,FALSE)="0",ხელფასები!F27/0.8*0.2,(ხელფასები!F27/0.8/0.98-ხელფასები!F27/0.8/0.98*0.02)*0.2)</f>
        <v>0</v>
      </c>
      <c r="N28">
        <f>VLOOKUP(CONCATENATE(ხელფასები!D27,ხელფასები!E27),map!$A$1:$P$102,14,FALSE)</f>
        <v>0</v>
      </c>
      <c r="O28">
        <f>VLOOKUP(CONCATENATE(ხელფასები!D27,ხელფასები!E27),map!$A$1:$P$102,15,FALSE)</f>
        <v>0</v>
      </c>
      <c r="P28">
        <f>VLOOKUP(CONCATENATE(ხელფასები!D27,ხელფასები!E27),map!$A$1:$P$102,16,FALSE)</f>
        <v>0</v>
      </c>
    </row>
    <row r="29" spans="1:16">
      <c r="A29">
        <f>VLOOKUP(CONCATENATE(ხელფასები!D28,ხელფასები!E28),map!$A$1:$P$100,2,FALSE)</f>
        <v>0</v>
      </c>
      <c r="B29">
        <f>VLOOKUP(CONCATENATE(ხელფასები!D28,ხელფასები!E28),map!$A$1:$P$120,3,FALSE)</f>
        <v>0</v>
      </c>
      <c r="C29">
        <f>VLOOKUP(CONCATENATE(ხელფასები!D28,ხელფასები!E28),map!$A$1:$P$120,4,FALSE)</f>
        <v>0</v>
      </c>
      <c r="D29">
        <f>VLOOKUP(CONCATENATE(ხელფასები!D28,ხელფასები!E28),map!$A$1:$P$102,5,FALSE)</f>
        <v>0</v>
      </c>
      <c r="E29">
        <f>VLOOKUP(CONCATENATE(ხელფასები!D28,ხელფასები!E28),map!$A$1:$P$102,6,FALSE)</f>
        <v>0</v>
      </c>
      <c r="F29">
        <f>VLOOKUP(CONCATENATE(ხელფასები!D28,ხელფასები!E28),map!$A$1:$P$102,7,FALSE)</f>
        <v>0</v>
      </c>
      <c r="G29">
        <f>VLOOKUP(CONCATENATE(ხელფასები!D28,ხელფასები!E28),map!$A$1:$P$102,8,FALSE)</f>
        <v>0</v>
      </c>
      <c r="H29">
        <f>IF(VLOOKUP(CONCATENATE(ხელფასები!D28,ხელფასები!E28),map!$A$1:$P$102,10,FALSE)="0",ხელფასები!F28/0.8,ხელფასები!F28/0.8/0.98)</f>
        <v>0</v>
      </c>
      <c r="I29" s="5">
        <f>IF(VLOOKUP(CONCATENATE(ხელფასები!D28,ხელფასები!E28),map!$A$1:$P$102,10,FALSE)="0","0",ხელფასები!F28/0.8/0.98*0.02)</f>
        <v>0</v>
      </c>
      <c r="J29" s="5">
        <v>0</v>
      </c>
      <c r="K29" s="4" t="str">
        <f>CONCATENATE(IF(LEN(DAY(ხელფასები!C28))&gt;1,DAY(ხელფასები!C28),CONCATENATE("0",DAY(ხელფასები!C28))),"/",MONTH(ხელფასები!C28),"/",YEAR(ხელფასები!C28))</f>
        <v>00/1/1900</v>
      </c>
      <c r="L29">
        <f>VLOOKUP(CONCATENATE(ხელფასები!D28,ხელფასები!E28),map!$A$1:$P$102,12,FALSE)</f>
        <v>0</v>
      </c>
      <c r="M29">
        <f>IF(VLOOKUP(CONCATENATE(ხელფასები!D28,ხელფასები!E28),map!$A$1:$P$102,10,FALSE)="0",ხელფასები!F28/0.8*0.2,(ხელფასები!F28/0.8/0.98-ხელფასები!F28/0.8/0.98*0.02)*0.2)</f>
        <v>0</v>
      </c>
      <c r="N29">
        <f>VLOOKUP(CONCATENATE(ხელფასები!D28,ხელფასები!E28),map!$A$1:$P$102,14,FALSE)</f>
        <v>0</v>
      </c>
      <c r="O29">
        <f>VLOOKUP(CONCATENATE(ხელფასები!D28,ხელფასები!E28),map!$A$1:$P$102,15,FALSE)</f>
        <v>0</v>
      </c>
      <c r="P29">
        <f>VLOOKUP(CONCATENATE(ხელფასები!D28,ხელფასები!E28),map!$A$1:$P$102,16,FALSE)</f>
        <v>0</v>
      </c>
    </row>
    <row r="30" spans="1:16">
      <c r="A30">
        <f>VLOOKUP(CONCATENATE(ხელფასები!D29,ხელფასები!E29),map!$A$1:$P$100,2,FALSE)</f>
        <v>0</v>
      </c>
      <c r="B30">
        <f>VLOOKUP(CONCATENATE(ხელფასები!D29,ხელფასები!E29),map!$A$1:$P$120,3,FALSE)</f>
        <v>0</v>
      </c>
      <c r="C30">
        <f>VLOOKUP(CONCATENATE(ხელფასები!D29,ხელფასები!E29),map!$A$1:$P$120,4,FALSE)</f>
        <v>0</v>
      </c>
      <c r="D30">
        <f>VLOOKUP(CONCATENATE(ხელფასები!D29,ხელფასები!E29),map!$A$1:$P$102,5,FALSE)</f>
        <v>0</v>
      </c>
      <c r="E30">
        <f>VLOOKUP(CONCATENATE(ხელფასები!D29,ხელფასები!E29),map!$A$1:$P$102,6,FALSE)</f>
        <v>0</v>
      </c>
      <c r="F30">
        <f>VLOOKUP(CONCATENATE(ხელფასები!D29,ხელფასები!E29),map!$A$1:$P$102,7,FALSE)</f>
        <v>0</v>
      </c>
      <c r="G30">
        <f>VLOOKUP(CONCATENATE(ხელფასები!D29,ხელფასები!E29),map!$A$1:$P$102,8,FALSE)</f>
        <v>0</v>
      </c>
      <c r="H30">
        <f>IF(VLOOKUP(CONCATENATE(ხელფასები!D29,ხელფასები!E29),map!$A$1:$P$102,10,FALSE)="0",ხელფასები!F29/0.8,ხელფასები!F29/0.8/0.98)</f>
        <v>0</v>
      </c>
      <c r="I30" s="5">
        <f>IF(VLOOKUP(CONCATENATE(ხელფასები!D29,ხელფასები!E29),map!$A$1:$P$102,10,FALSE)="0","0",ხელფასები!F29/0.8/0.98*0.02)</f>
        <v>0</v>
      </c>
      <c r="J30" s="5">
        <v>0</v>
      </c>
      <c r="K30" s="4" t="str">
        <f>CONCATENATE(IF(LEN(DAY(ხელფასები!C29))&gt;1,DAY(ხელფასები!C29),CONCATENATE("0",DAY(ხელფასები!C29))),"/",MONTH(ხელფასები!C29),"/",YEAR(ხელფასები!C29))</f>
        <v>00/1/1900</v>
      </c>
      <c r="L30">
        <f>VLOOKUP(CONCATENATE(ხელფასები!D29,ხელფასები!E29),map!$A$1:$P$102,12,FALSE)</f>
        <v>0</v>
      </c>
      <c r="M30">
        <f>IF(VLOOKUP(CONCATENATE(ხელფასები!D29,ხელფასები!E29),map!$A$1:$P$102,10,FALSE)="0",ხელფასები!F29/0.8*0.2,(ხელფასები!F29/0.8/0.98-ხელფასები!F29/0.8/0.98*0.02)*0.2)</f>
        <v>0</v>
      </c>
      <c r="N30">
        <f>VLOOKUP(CONCATENATE(ხელფასები!D29,ხელფასები!E29),map!$A$1:$P$102,14,FALSE)</f>
        <v>0</v>
      </c>
      <c r="O30">
        <f>VLOOKUP(CONCATENATE(ხელფასები!D29,ხელფასები!E29),map!$A$1:$P$102,15,FALSE)</f>
        <v>0</v>
      </c>
      <c r="P30">
        <f>VLOOKUP(CONCATENATE(ხელფასები!D29,ხელფასები!E29),map!$A$1:$P$102,16,FALSE)</f>
        <v>0</v>
      </c>
    </row>
    <row r="31" spans="1:16">
      <c r="A31">
        <f>VLOOKUP(CONCATENATE(ხელფასები!D30,ხელფასები!E30),map!$A$1:$P$100,2,FALSE)</f>
        <v>0</v>
      </c>
      <c r="B31">
        <f>VLOOKUP(CONCATENATE(ხელფასები!D30,ხელფასები!E30),map!$A$1:$P$120,3,FALSE)</f>
        <v>0</v>
      </c>
      <c r="C31">
        <f>VLOOKUP(CONCATENATE(ხელფასები!D30,ხელფასები!E30),map!$A$1:$P$120,4,FALSE)</f>
        <v>0</v>
      </c>
      <c r="D31">
        <f>VLOOKUP(CONCATENATE(ხელფასები!D30,ხელფასები!E30),map!$A$1:$P$102,5,FALSE)</f>
        <v>0</v>
      </c>
      <c r="E31">
        <f>VLOOKUP(CONCATENATE(ხელფასები!D30,ხელფასები!E30),map!$A$1:$P$102,6,FALSE)</f>
        <v>0</v>
      </c>
      <c r="F31">
        <f>VLOOKUP(CONCATENATE(ხელფასები!D30,ხელფასები!E30),map!$A$1:$P$102,7,FALSE)</f>
        <v>0</v>
      </c>
      <c r="G31">
        <f>VLOOKUP(CONCATENATE(ხელფასები!D30,ხელფასები!E30),map!$A$1:$P$102,8,FALSE)</f>
        <v>0</v>
      </c>
      <c r="H31">
        <f>IF(VLOOKUP(CONCATENATE(ხელფასები!D30,ხელფასები!E30),map!$A$1:$P$102,10,FALSE)="0",ხელფასები!F30/0.8,ხელფასები!F30/0.8/0.98)</f>
        <v>0</v>
      </c>
      <c r="I31" s="5">
        <f>IF(VLOOKUP(CONCATENATE(ხელფასები!D30,ხელფასები!E30),map!$A$1:$P$102,10,FALSE)="0","0",ხელფასები!F30/0.8/0.98*0.02)</f>
        <v>0</v>
      </c>
      <c r="J31" s="5">
        <v>0</v>
      </c>
      <c r="K31" s="4" t="str">
        <f>CONCATENATE(IF(LEN(DAY(ხელფასები!C30))&gt;1,DAY(ხელფასები!C30),CONCATENATE("0",DAY(ხელფასები!C30))),"/",MONTH(ხელფასები!C30),"/",YEAR(ხელფასები!C30))</f>
        <v>00/1/1900</v>
      </c>
      <c r="L31">
        <f>VLOOKUP(CONCATENATE(ხელფასები!D30,ხელფასები!E30),map!$A$1:$P$102,12,FALSE)</f>
        <v>0</v>
      </c>
      <c r="M31">
        <f>IF(VLOOKUP(CONCATENATE(ხელფასები!D30,ხელფასები!E30),map!$A$1:$P$102,10,FALSE)="0",ხელფასები!F30/0.8*0.2,(ხელფასები!F30/0.8/0.98-ხელფასები!F30/0.8/0.98*0.02)*0.2)</f>
        <v>0</v>
      </c>
      <c r="N31">
        <f>VLOOKUP(CONCATENATE(ხელფასები!D30,ხელფასები!E30),map!$A$1:$P$102,14,FALSE)</f>
        <v>0</v>
      </c>
      <c r="O31">
        <f>VLOOKUP(CONCATENATE(ხელფასები!D30,ხელფასები!E30),map!$A$1:$P$102,15,FALSE)</f>
        <v>0</v>
      </c>
      <c r="P31">
        <f>VLOOKUP(CONCATENATE(ხელფასები!D30,ხელფასები!E30),map!$A$1:$P$102,16,FALSE)</f>
        <v>0</v>
      </c>
    </row>
    <row r="32" spans="1:16">
      <c r="A32">
        <f>VLOOKUP(CONCATENATE(ხელფასები!D31,ხელფასები!E31),map!$A$1:$P$100,2,FALSE)</f>
        <v>0</v>
      </c>
      <c r="B32">
        <f>VLOOKUP(CONCATENATE(ხელფასები!D31,ხელფასები!E31),map!$A$1:$P$120,3,FALSE)</f>
        <v>0</v>
      </c>
      <c r="C32">
        <f>VLOOKUP(CONCATENATE(ხელფასები!D31,ხელფასები!E31),map!$A$1:$P$120,4,FALSE)</f>
        <v>0</v>
      </c>
      <c r="D32">
        <f>VLOOKUP(CONCATENATE(ხელფასები!D31,ხელფასები!E31),map!$A$1:$P$102,5,FALSE)</f>
        <v>0</v>
      </c>
      <c r="E32">
        <f>VLOOKUP(CONCATENATE(ხელფასები!D31,ხელფასები!E31),map!$A$1:$P$102,6,FALSE)</f>
        <v>0</v>
      </c>
      <c r="F32">
        <f>VLOOKUP(CONCATENATE(ხელფასები!D31,ხელფასები!E31),map!$A$1:$P$102,7,FALSE)</f>
        <v>0</v>
      </c>
      <c r="G32">
        <f>VLOOKUP(CONCATENATE(ხელფასები!D31,ხელფასები!E31),map!$A$1:$P$102,8,FALSE)</f>
        <v>0</v>
      </c>
      <c r="H32">
        <f>IF(VLOOKUP(CONCATENATE(ხელფასები!D31,ხელფასები!E31),map!$A$1:$P$102,10,FALSE)="0",ხელფასები!F31/0.8,ხელფასები!F31/0.8/0.98)</f>
        <v>0</v>
      </c>
      <c r="I32" s="5">
        <f>IF(VLOOKUP(CONCATENATE(ხელფასები!D31,ხელფასები!E31),map!$A$1:$P$102,10,FALSE)="0","0",ხელფასები!F31/0.8/0.98*0.02)</f>
        <v>0</v>
      </c>
      <c r="J32" s="5">
        <v>0</v>
      </c>
      <c r="K32" s="4" t="str">
        <f>CONCATENATE(IF(LEN(DAY(ხელფასები!C31))&gt;1,DAY(ხელფასები!C31),CONCATENATE("0",DAY(ხელფასები!C31))),"/",MONTH(ხელფასები!C31),"/",YEAR(ხელფასები!C31))</f>
        <v>00/1/1900</v>
      </c>
      <c r="L32">
        <f>VLOOKUP(CONCATENATE(ხელფასები!D31,ხელფასები!E31),map!$A$1:$P$102,12,FALSE)</f>
        <v>0</v>
      </c>
      <c r="M32">
        <f>IF(VLOOKUP(CONCATENATE(ხელფასები!D31,ხელფასები!E31),map!$A$1:$P$102,10,FALSE)="0",ხელფასები!F31/0.8*0.2,(ხელფასები!F31/0.8/0.98-ხელფასები!F31/0.8/0.98*0.02)*0.2)</f>
        <v>0</v>
      </c>
      <c r="N32">
        <f>VLOOKUP(CONCATENATE(ხელფასები!D31,ხელფასები!E31),map!$A$1:$P$102,14,FALSE)</f>
        <v>0</v>
      </c>
      <c r="O32">
        <f>VLOOKUP(CONCATENATE(ხელფასები!D31,ხელფასები!E31),map!$A$1:$P$102,15,FALSE)</f>
        <v>0</v>
      </c>
      <c r="P32">
        <f>VLOOKUP(CONCATENATE(ხელფასები!D31,ხელფასები!E31),map!$A$1:$P$102,16,FALSE)</f>
        <v>0</v>
      </c>
    </row>
    <row r="33" spans="1:16">
      <c r="A33">
        <f>VLOOKUP(CONCATENATE(ხელფასები!D32,ხელფასები!E32),map!$A$1:$P$100,2,FALSE)</f>
        <v>0</v>
      </c>
      <c r="B33">
        <f>VLOOKUP(CONCATENATE(ხელფასები!D32,ხელფასები!E32),map!$A$1:$P$120,3,FALSE)</f>
        <v>0</v>
      </c>
      <c r="C33">
        <f>VLOOKUP(CONCATENATE(ხელფასები!D32,ხელფასები!E32),map!$A$1:$P$120,4,FALSE)</f>
        <v>0</v>
      </c>
      <c r="D33">
        <f>VLOOKUP(CONCATENATE(ხელფასები!D32,ხელფასები!E32),map!$A$1:$P$102,5,FALSE)</f>
        <v>0</v>
      </c>
      <c r="E33">
        <f>VLOOKUP(CONCATENATE(ხელფასები!D32,ხელფასები!E32),map!$A$1:$P$102,6,FALSE)</f>
        <v>0</v>
      </c>
      <c r="F33">
        <f>VLOOKUP(CONCATENATE(ხელფასები!D32,ხელფასები!E32),map!$A$1:$P$102,7,FALSE)</f>
        <v>0</v>
      </c>
      <c r="G33">
        <f>VLOOKUP(CONCATENATE(ხელფასები!D32,ხელფასები!E32),map!$A$1:$P$102,8,FALSE)</f>
        <v>0</v>
      </c>
      <c r="H33">
        <f>IF(VLOOKUP(CONCATENATE(ხელფასები!D32,ხელფასები!E32),map!$A$1:$P$102,10,FALSE)="0",ხელფასები!F32/0.8,ხელფასები!F32/0.8/0.98)</f>
        <v>0</v>
      </c>
      <c r="I33" s="5">
        <f>IF(VLOOKUP(CONCATENATE(ხელფასები!D32,ხელფასები!E32),map!$A$1:$P$102,10,FALSE)="0","0",ხელფასები!F32/0.8/0.98*0.02)</f>
        <v>0</v>
      </c>
      <c r="J33" s="5">
        <v>0</v>
      </c>
      <c r="K33" s="4" t="str">
        <f>CONCATENATE(IF(LEN(DAY(ხელფასები!C32))&gt;1,DAY(ხელფასები!C32),CONCATENATE("0",DAY(ხელფასები!C32))),"/",MONTH(ხელფასები!C32),"/",YEAR(ხელფასები!C32))</f>
        <v>00/1/1900</v>
      </c>
      <c r="L33">
        <f>VLOOKUP(CONCATENATE(ხელფასები!D32,ხელფასები!E32),map!$A$1:$P$102,12,FALSE)</f>
        <v>0</v>
      </c>
      <c r="M33">
        <f>IF(VLOOKUP(CONCATENATE(ხელფასები!D32,ხელფასები!E32),map!$A$1:$P$102,10,FALSE)="0",ხელფასები!F32/0.8*0.2,(ხელფასები!F32/0.8/0.98-ხელფასები!F32/0.8/0.98*0.02)*0.2)</f>
        <v>0</v>
      </c>
      <c r="N33">
        <f>VLOOKUP(CONCATENATE(ხელფასები!D32,ხელფასები!E32),map!$A$1:$P$102,14,FALSE)</f>
        <v>0</v>
      </c>
      <c r="O33">
        <f>VLOOKUP(CONCATENATE(ხელფასები!D32,ხელფასები!E32),map!$A$1:$P$102,15,FALSE)</f>
        <v>0</v>
      </c>
      <c r="P33">
        <f>VLOOKUP(CONCATENATE(ხელფასები!D32,ხელფასები!E32),map!$A$1:$P$102,16,FALSE)</f>
        <v>0</v>
      </c>
    </row>
    <row r="34" spans="1:16">
      <c r="A34">
        <f>VLOOKUP(CONCATENATE(ხელფასები!D33,ხელფასები!E33),map!$A$1:$P$100,2,FALSE)</f>
        <v>0</v>
      </c>
      <c r="B34">
        <f>VLOOKUP(CONCATENATE(ხელფასები!D33,ხელფასები!E33),map!$A$1:$P$120,3,FALSE)</f>
        <v>0</v>
      </c>
      <c r="C34">
        <f>VLOOKUP(CONCATENATE(ხელფასები!D33,ხელფასები!E33),map!$A$1:$P$120,4,FALSE)</f>
        <v>0</v>
      </c>
      <c r="D34">
        <f>VLOOKUP(CONCATENATE(ხელფასები!D33,ხელფასები!E33),map!$A$1:$P$102,5,FALSE)</f>
        <v>0</v>
      </c>
      <c r="E34">
        <f>VLOOKUP(CONCATENATE(ხელფასები!D33,ხელფასები!E33),map!$A$1:$P$102,6,FALSE)</f>
        <v>0</v>
      </c>
      <c r="F34">
        <f>VLOOKUP(CONCATENATE(ხელფასები!D33,ხელფასები!E33),map!$A$1:$P$102,7,FALSE)</f>
        <v>0</v>
      </c>
      <c r="G34">
        <f>VLOOKUP(CONCATENATE(ხელფასები!D33,ხელფასები!E33),map!$A$1:$P$102,8,FALSE)</f>
        <v>0</v>
      </c>
      <c r="H34">
        <f>IF(VLOOKUP(CONCATENATE(ხელფასები!D33,ხელფასები!E33),map!$A$1:$P$102,10,FALSE)="0",ხელფასები!F33/0.8,ხელფასები!F33/0.8/0.98)</f>
        <v>0</v>
      </c>
      <c r="I34" s="5">
        <f>IF(VLOOKUP(CONCATENATE(ხელფასები!D33,ხელფასები!E33),map!$A$1:$P$102,10,FALSE)="0","0",ხელფასები!F33/0.8/0.98*0.02)</f>
        <v>0</v>
      </c>
      <c r="J34" s="5">
        <v>0</v>
      </c>
      <c r="K34" s="4" t="str">
        <f>CONCATENATE(IF(LEN(DAY(ხელფასები!C33))&gt;1,DAY(ხელფასები!C33),CONCATENATE("0",DAY(ხელფასები!C33))),"/",MONTH(ხელფასები!C33),"/",YEAR(ხელფასები!C33))</f>
        <v>00/1/1900</v>
      </c>
      <c r="L34">
        <f>VLOOKUP(CONCATENATE(ხელფასები!D33,ხელფასები!E33),map!$A$1:$P$102,12,FALSE)</f>
        <v>0</v>
      </c>
      <c r="M34">
        <f>IF(VLOOKUP(CONCATENATE(ხელფასები!D33,ხელფასები!E33),map!$A$1:$P$102,10,FALSE)="0",ხელფასები!F33/0.8*0.2,(ხელფასები!F33/0.8/0.98-ხელფასები!F33/0.8/0.98*0.02)*0.2)</f>
        <v>0</v>
      </c>
      <c r="N34">
        <f>VLOOKUP(CONCATENATE(ხელფასები!D33,ხელფასები!E33),map!$A$1:$P$102,14,FALSE)</f>
        <v>0</v>
      </c>
      <c r="O34">
        <f>VLOOKUP(CONCATENATE(ხელფასები!D33,ხელფასები!E33),map!$A$1:$P$102,15,FALSE)</f>
        <v>0</v>
      </c>
      <c r="P34">
        <f>VLOOKUP(CONCATENATE(ხელფასები!D33,ხელფასები!E33),map!$A$1:$P$102,16,FALSE)</f>
        <v>0</v>
      </c>
    </row>
    <row r="35" spans="1:16">
      <c r="A35">
        <f>VLOOKUP(CONCATENATE(ხელფასები!D34,ხელფასები!E34),map!$A$1:$P$100,2,FALSE)</f>
        <v>0</v>
      </c>
      <c r="B35">
        <f>VLOOKUP(CONCATENATE(ხელფასები!D34,ხელფასები!E34),map!$A$1:$P$120,3,FALSE)</f>
        <v>0</v>
      </c>
      <c r="C35">
        <f>VLOOKUP(CONCATENATE(ხელფასები!D34,ხელფასები!E34),map!$A$1:$P$120,4,FALSE)</f>
        <v>0</v>
      </c>
      <c r="D35">
        <f>VLOOKUP(CONCATENATE(ხელფასები!D34,ხელფასები!E34),map!$A$1:$P$102,5,FALSE)</f>
        <v>0</v>
      </c>
      <c r="E35">
        <f>VLOOKUP(CONCATENATE(ხელფასები!D34,ხელფასები!E34),map!$A$1:$P$102,6,FALSE)</f>
        <v>0</v>
      </c>
      <c r="F35">
        <f>VLOOKUP(CONCATENATE(ხელფასები!D34,ხელფასები!E34),map!$A$1:$P$102,7,FALSE)</f>
        <v>0</v>
      </c>
      <c r="G35">
        <f>VLOOKUP(CONCATENATE(ხელფასები!D34,ხელფასები!E34),map!$A$1:$P$102,8,FALSE)</f>
        <v>0</v>
      </c>
      <c r="H35">
        <f>IF(VLOOKUP(CONCATENATE(ხელფასები!D34,ხელფასები!E34),map!$A$1:$P$102,10,FALSE)="0",ხელფასები!F34/0.8,ხელფასები!F34/0.8/0.98)</f>
        <v>0</v>
      </c>
      <c r="I35" s="5">
        <f>IF(VLOOKUP(CONCATENATE(ხელფასები!D34,ხელფასები!E34),map!$A$1:$P$102,10,FALSE)="0","0",ხელფასები!F34/0.8/0.98*0.02)</f>
        <v>0</v>
      </c>
      <c r="J35" s="5">
        <v>0</v>
      </c>
      <c r="K35" s="4" t="str">
        <f>CONCATENATE(IF(LEN(DAY(ხელფასები!C34))&gt;1,DAY(ხელფასები!C34),CONCATENATE("0",DAY(ხელფასები!C34))),"/",MONTH(ხელფასები!C34),"/",YEAR(ხელფასები!C34))</f>
        <v>00/1/1900</v>
      </c>
      <c r="L35">
        <f>VLOOKUP(CONCATENATE(ხელფასები!D34,ხელფასები!E34),map!$A$1:$P$102,12,FALSE)</f>
        <v>0</v>
      </c>
      <c r="M35">
        <f>IF(VLOOKUP(CONCATENATE(ხელფასები!D34,ხელფასები!E34),map!$A$1:$P$102,10,FALSE)="0",ხელფასები!F34/0.8*0.2,(ხელფასები!F34/0.8/0.98-ხელფასები!F34/0.8/0.98*0.02)*0.2)</f>
        <v>0</v>
      </c>
      <c r="N35">
        <f>VLOOKUP(CONCATENATE(ხელფასები!D34,ხელფასები!E34),map!$A$1:$P$102,14,FALSE)</f>
        <v>0</v>
      </c>
      <c r="O35">
        <f>VLOOKUP(CONCATENATE(ხელფასები!D34,ხელფასები!E34),map!$A$1:$P$102,15,FALSE)</f>
        <v>0</v>
      </c>
      <c r="P35">
        <f>VLOOKUP(CONCATENATE(ხელფასები!D34,ხელფასები!E34),map!$A$1:$P$102,16,FALSE)</f>
        <v>0</v>
      </c>
    </row>
    <row r="36" spans="1:16">
      <c r="A36">
        <f>VLOOKUP(CONCATENATE(ხელფასები!D35,ხელფასები!E35),map!$A$1:$P$100,2,FALSE)</f>
        <v>0</v>
      </c>
      <c r="B36">
        <f>VLOOKUP(CONCATENATE(ხელფასები!D35,ხელფასები!E35),map!$A$1:$P$120,3,FALSE)</f>
        <v>0</v>
      </c>
      <c r="C36">
        <f>VLOOKUP(CONCATENATE(ხელფასები!D35,ხელფასები!E35),map!$A$1:$P$120,4,FALSE)</f>
        <v>0</v>
      </c>
      <c r="D36">
        <f>VLOOKUP(CONCATENATE(ხელფასები!D35,ხელფასები!E35),map!$A$1:$P$102,5,FALSE)</f>
        <v>0</v>
      </c>
      <c r="E36">
        <f>VLOOKUP(CONCATENATE(ხელფასები!D35,ხელფასები!E35),map!$A$1:$P$102,6,FALSE)</f>
        <v>0</v>
      </c>
      <c r="F36">
        <f>VLOOKUP(CONCATENATE(ხელფასები!D35,ხელფასები!E35),map!$A$1:$P$102,7,FALSE)</f>
        <v>0</v>
      </c>
      <c r="G36">
        <f>VLOOKUP(CONCATENATE(ხელფასები!D35,ხელფასები!E35),map!$A$1:$P$102,8,FALSE)</f>
        <v>0</v>
      </c>
      <c r="H36">
        <f>IF(VLOOKUP(CONCATENATE(ხელფასები!D35,ხელფასები!E35),map!$A$1:$P$102,10,FALSE)="0",ხელფასები!F35/0.8,ხელფასები!F35/0.8/0.98)</f>
        <v>0</v>
      </c>
      <c r="I36" s="5">
        <f>IF(VLOOKUP(CONCATENATE(ხელფასები!D35,ხელფასები!E35),map!$A$1:$P$102,10,FALSE)="0","0",ხელფასები!F35/0.8/0.98*0.02)</f>
        <v>0</v>
      </c>
      <c r="J36" s="5">
        <v>0</v>
      </c>
      <c r="K36" s="4" t="str">
        <f>CONCATENATE(IF(LEN(DAY(ხელფასები!C35))&gt;1,DAY(ხელფასები!C35),CONCATENATE("0",DAY(ხელფასები!C35))),"/",MONTH(ხელფასები!C35),"/",YEAR(ხელფასები!C35))</f>
        <v>00/1/1900</v>
      </c>
      <c r="L36">
        <f>VLOOKUP(CONCATENATE(ხელფასები!D35,ხელფასები!E35),map!$A$1:$P$102,12,FALSE)</f>
        <v>0</v>
      </c>
      <c r="M36">
        <f>IF(VLOOKUP(CONCATENATE(ხელფასები!D35,ხელფასები!E35),map!$A$1:$P$102,10,FALSE)="0",ხელფასები!F35/0.8*0.2,(ხელფასები!F35/0.8/0.98-ხელფასები!F35/0.8/0.98*0.02)*0.2)</f>
        <v>0</v>
      </c>
      <c r="N36">
        <f>VLOOKUP(CONCATENATE(ხელფასები!D35,ხელფასები!E35),map!$A$1:$P$102,14,FALSE)</f>
        <v>0</v>
      </c>
      <c r="O36">
        <f>VLOOKUP(CONCATENATE(ხელფასები!D35,ხელფასები!E35),map!$A$1:$P$102,15,FALSE)</f>
        <v>0</v>
      </c>
      <c r="P36">
        <f>VLOOKUP(CONCATENATE(ხელფასები!D35,ხელფასები!E35),map!$A$1:$P$102,16,FALSE)</f>
        <v>0</v>
      </c>
    </row>
    <row r="37" spans="1:16">
      <c r="A37">
        <f>VLOOKUP(CONCATENATE(ხელფასები!D36,ხელფასები!E36),map!$A$1:$P$100,2,FALSE)</f>
        <v>0</v>
      </c>
      <c r="B37">
        <f>VLOOKUP(CONCATENATE(ხელფასები!D36,ხელფასები!E36),map!$A$1:$P$120,3,FALSE)</f>
        <v>0</v>
      </c>
      <c r="C37">
        <f>VLOOKUP(CONCATENATE(ხელფასები!D36,ხელფასები!E36),map!$A$1:$P$120,4,FALSE)</f>
        <v>0</v>
      </c>
      <c r="D37">
        <f>VLOOKUP(CONCATENATE(ხელფასები!D36,ხელფასები!E36),map!$A$1:$P$102,5,FALSE)</f>
        <v>0</v>
      </c>
      <c r="E37">
        <f>VLOOKUP(CONCATENATE(ხელფასები!D36,ხელფასები!E36),map!$A$1:$P$102,6,FALSE)</f>
        <v>0</v>
      </c>
      <c r="F37">
        <f>VLOOKUP(CONCATENATE(ხელფასები!D36,ხელფასები!E36),map!$A$1:$P$102,7,FALSE)</f>
        <v>0</v>
      </c>
      <c r="G37">
        <f>VLOOKUP(CONCATENATE(ხელფასები!D36,ხელფასები!E36),map!$A$1:$P$102,8,FALSE)</f>
        <v>0</v>
      </c>
      <c r="H37">
        <f>IF(VLOOKUP(CONCATENATE(ხელფასები!D36,ხელფასები!E36),map!$A$1:$P$102,10,FALSE)="0",ხელფასები!F36/0.8,ხელფასები!F36/0.8/0.98)</f>
        <v>0</v>
      </c>
      <c r="I37" s="5">
        <f>IF(VLOOKUP(CONCATENATE(ხელფასები!D36,ხელფასები!E36),map!$A$1:$P$102,10,FALSE)="0","0",ხელფასები!F36/0.8/0.98*0.02)</f>
        <v>0</v>
      </c>
      <c r="J37" s="5">
        <v>0</v>
      </c>
      <c r="K37" s="4" t="str">
        <f>CONCATENATE(IF(LEN(DAY(ხელფასები!C36))&gt;1,DAY(ხელფასები!C36),CONCATENATE("0",DAY(ხელფასები!C36))),"/",MONTH(ხელფასები!C36),"/",YEAR(ხელფასები!C36))</f>
        <v>00/1/1900</v>
      </c>
      <c r="L37">
        <f>VLOOKUP(CONCATENATE(ხელფასები!D36,ხელფასები!E36),map!$A$1:$P$102,12,FALSE)</f>
        <v>0</v>
      </c>
      <c r="M37">
        <f>IF(VLOOKUP(CONCATENATE(ხელფასები!D36,ხელფასები!E36),map!$A$1:$P$102,10,FALSE)="0",ხელფასები!F36/0.8*0.2,(ხელფასები!F36/0.8/0.98-ხელფასები!F36/0.8/0.98*0.02)*0.2)</f>
        <v>0</v>
      </c>
      <c r="N37">
        <f>VLOOKUP(CONCATENATE(ხელფასები!D36,ხელფასები!E36),map!$A$1:$P$102,14,FALSE)</f>
        <v>0</v>
      </c>
      <c r="O37">
        <f>VLOOKUP(CONCATENATE(ხელფასები!D36,ხელფასები!E36),map!$A$1:$P$102,15,FALSE)</f>
        <v>0</v>
      </c>
      <c r="P37">
        <f>VLOOKUP(CONCATENATE(ხელფასები!D36,ხელფასები!E36),map!$A$1:$P$102,16,FALSE)</f>
        <v>0</v>
      </c>
    </row>
    <row r="38" spans="1:16">
      <c r="A38">
        <f>VLOOKUP(CONCATENATE(ხელფასები!D37,ხელფასები!E37),map!$A$1:$P$100,2,FALSE)</f>
        <v>0</v>
      </c>
      <c r="B38">
        <f>VLOOKUP(CONCATENATE(ხელფასები!D37,ხელფასები!E37),map!$A$1:$P$120,3,FALSE)</f>
        <v>0</v>
      </c>
      <c r="C38">
        <f>VLOOKUP(CONCATENATE(ხელფასები!D37,ხელფასები!E37),map!$A$1:$P$120,4,FALSE)</f>
        <v>0</v>
      </c>
      <c r="D38">
        <f>VLOOKUP(CONCATENATE(ხელფასები!D37,ხელფასები!E37),map!$A$1:$P$102,5,FALSE)</f>
        <v>0</v>
      </c>
      <c r="E38">
        <f>VLOOKUP(CONCATENATE(ხელფასები!D37,ხელფასები!E37),map!$A$1:$P$102,6,FALSE)</f>
        <v>0</v>
      </c>
      <c r="F38">
        <f>VLOOKUP(CONCATENATE(ხელფასები!D37,ხელფასები!E37),map!$A$1:$P$102,7,FALSE)</f>
        <v>0</v>
      </c>
      <c r="G38">
        <f>VLOOKUP(CONCATENATE(ხელფასები!D37,ხელფასები!E37),map!$A$1:$P$102,8,FALSE)</f>
        <v>0</v>
      </c>
      <c r="H38">
        <f>IF(VLOOKUP(CONCATENATE(ხელფასები!D37,ხელფასები!E37),map!$A$1:$P$102,10,FALSE)="0",ხელფასები!F37/0.8,ხელფასები!F37/0.8/0.98)</f>
        <v>0</v>
      </c>
      <c r="I38" s="5">
        <f>IF(VLOOKUP(CONCATENATE(ხელფასები!D37,ხელფასები!E37),map!$A$1:$P$102,10,FALSE)="0","0",ხელფასები!F37/0.8/0.98*0.02)</f>
        <v>0</v>
      </c>
      <c r="J38" s="5">
        <v>0</v>
      </c>
      <c r="K38" s="4" t="str">
        <f>CONCATENATE(IF(LEN(DAY(ხელფასები!C37))&gt;1,DAY(ხელფასები!C37),CONCATENATE("0",DAY(ხელფასები!C37))),"/",MONTH(ხელფასები!C37),"/",YEAR(ხელფასები!C37))</f>
        <v>00/1/1900</v>
      </c>
      <c r="L38">
        <f>VLOOKUP(CONCATENATE(ხელფასები!D37,ხელფასები!E37),map!$A$1:$P$102,12,FALSE)</f>
        <v>0</v>
      </c>
      <c r="M38">
        <f>IF(VLOOKUP(CONCATENATE(ხელფასები!D37,ხელფასები!E37),map!$A$1:$P$102,10,FALSE)="0",ხელფასები!F37/0.8*0.2,(ხელფასები!F37/0.8/0.98-ხელფასები!F37/0.8/0.98*0.02)*0.2)</f>
        <v>0</v>
      </c>
      <c r="N38">
        <f>VLOOKUP(CONCATENATE(ხელფასები!D37,ხელფასები!E37),map!$A$1:$P$102,14,FALSE)</f>
        <v>0</v>
      </c>
      <c r="O38">
        <f>VLOOKUP(CONCATENATE(ხელფასები!D37,ხელფასები!E37),map!$A$1:$P$102,15,FALSE)</f>
        <v>0</v>
      </c>
      <c r="P38">
        <f>VLOOKUP(CONCATENATE(ხელფასები!D37,ხელფასები!E37),map!$A$1:$P$102,16,FALSE)</f>
        <v>0</v>
      </c>
    </row>
    <row r="39" spans="1:16">
      <c r="A39">
        <f>VLOOKUP(CONCATENATE(ხელფასები!D38,ხელფასები!E38),map!$A$1:$P$100,2,FALSE)</f>
        <v>0</v>
      </c>
      <c r="B39">
        <f>VLOOKUP(CONCATENATE(ხელფასები!D38,ხელფასები!E38),map!$A$1:$P$120,3,FALSE)</f>
        <v>0</v>
      </c>
      <c r="C39">
        <f>VLOOKUP(CONCATENATE(ხელფასები!D38,ხელფასები!E38),map!$A$1:$P$120,4,FALSE)</f>
        <v>0</v>
      </c>
      <c r="D39">
        <f>VLOOKUP(CONCATENATE(ხელფასები!D38,ხელფასები!E38),map!$A$1:$P$102,5,FALSE)</f>
        <v>0</v>
      </c>
      <c r="E39">
        <f>VLOOKUP(CONCATENATE(ხელფასები!D38,ხელფასები!E38),map!$A$1:$P$102,6,FALSE)</f>
        <v>0</v>
      </c>
      <c r="F39">
        <f>VLOOKUP(CONCATENATE(ხელფასები!D38,ხელფასები!E38),map!$A$1:$P$102,7,FALSE)</f>
        <v>0</v>
      </c>
      <c r="G39">
        <f>VLOOKUP(CONCATENATE(ხელფასები!D38,ხელფასები!E38),map!$A$1:$P$102,8,FALSE)</f>
        <v>0</v>
      </c>
      <c r="H39">
        <f>IF(VLOOKUP(CONCATENATE(ხელფასები!D38,ხელფასები!E38),map!$A$1:$P$102,10,FALSE)="0",ხელფასები!F38/0.8,ხელფასები!F38/0.8/0.98)</f>
        <v>0</v>
      </c>
      <c r="I39" s="5">
        <f>IF(VLOOKUP(CONCATENATE(ხელფასები!D38,ხელფასები!E38),map!$A$1:$P$102,10,FALSE)="0","0",ხელფასები!F38/0.8/0.98*0.02)</f>
        <v>0</v>
      </c>
      <c r="J39" s="5">
        <v>0</v>
      </c>
      <c r="K39" s="4" t="str">
        <f>CONCATENATE(IF(LEN(DAY(ხელფასები!C38))&gt;1,DAY(ხელფასები!C38),CONCATENATE("0",DAY(ხელფასები!C38))),"/",MONTH(ხელფასები!C38),"/",YEAR(ხელფასები!C38))</f>
        <v>00/1/1900</v>
      </c>
      <c r="L39">
        <f>VLOOKUP(CONCATENATE(ხელფასები!D38,ხელფასები!E38),map!$A$1:$P$102,12,FALSE)</f>
        <v>0</v>
      </c>
      <c r="M39">
        <f>IF(VLOOKUP(CONCATENATE(ხელფასები!D38,ხელფასები!E38),map!$A$1:$P$102,10,FALSE)="0",ხელფასები!F38/0.8*0.2,(ხელფასები!F38/0.8/0.98-ხელფასები!F38/0.8/0.98*0.02)*0.2)</f>
        <v>0</v>
      </c>
      <c r="N39">
        <f>VLOOKUP(CONCATENATE(ხელფასები!D38,ხელფასები!E38),map!$A$1:$P$102,14,FALSE)</f>
        <v>0</v>
      </c>
      <c r="O39">
        <f>VLOOKUP(CONCATENATE(ხელფასები!D38,ხელფასები!E38),map!$A$1:$P$102,15,FALSE)</f>
        <v>0</v>
      </c>
      <c r="P39">
        <f>VLOOKUP(CONCATENATE(ხელფასები!D38,ხელფასები!E38),map!$A$1:$P$102,16,FALSE)</f>
        <v>0</v>
      </c>
    </row>
    <row r="40" spans="1:16">
      <c r="A40">
        <f>VLOOKUP(CONCATENATE(ხელფასები!D39,ხელფასები!E39),map!$A$1:$P$100,2,FALSE)</f>
        <v>0</v>
      </c>
      <c r="B40">
        <f>VLOOKUP(CONCATENATE(ხელფასები!D39,ხელფასები!E39),map!$A$1:$P$120,3,FALSE)</f>
        <v>0</v>
      </c>
      <c r="C40">
        <f>VLOOKUP(CONCATENATE(ხელფასები!D39,ხელფასები!E39),map!$A$1:$P$120,4,FALSE)</f>
        <v>0</v>
      </c>
      <c r="D40">
        <f>VLOOKUP(CONCATENATE(ხელფასები!D39,ხელფასები!E39),map!$A$1:$P$102,5,FALSE)</f>
        <v>0</v>
      </c>
      <c r="E40">
        <f>VLOOKUP(CONCATENATE(ხელფასები!D39,ხელფასები!E39),map!$A$1:$P$102,6,FALSE)</f>
        <v>0</v>
      </c>
      <c r="F40">
        <f>VLOOKUP(CONCATENATE(ხელფასები!D39,ხელფასები!E39),map!$A$1:$P$102,7,FALSE)</f>
        <v>0</v>
      </c>
      <c r="G40">
        <f>VLOOKUP(CONCATENATE(ხელფასები!D39,ხელფასები!E39),map!$A$1:$P$102,8,FALSE)</f>
        <v>0</v>
      </c>
      <c r="H40">
        <f>IF(VLOOKUP(CONCATENATE(ხელფასები!D39,ხელფასები!E39),map!$A$1:$P$102,10,FALSE)="0",ხელფასები!F39/0.8,ხელფასები!F39/0.8/0.98)</f>
        <v>0</v>
      </c>
      <c r="I40" s="5">
        <f>IF(VLOOKUP(CONCATENATE(ხელფასები!D39,ხელფასები!E39),map!$A$1:$P$102,10,FALSE)="0","0",ხელფასები!F39/0.8/0.98*0.02)</f>
        <v>0</v>
      </c>
      <c r="J40" s="5">
        <v>0</v>
      </c>
      <c r="K40" s="4" t="str">
        <f>CONCATENATE(IF(LEN(DAY(ხელფასები!C39))&gt;1,DAY(ხელფასები!C39),CONCATENATE("0",DAY(ხელფასები!C39))),"/",MONTH(ხელფასები!C39),"/",YEAR(ხელფასები!C39))</f>
        <v>00/1/1900</v>
      </c>
      <c r="L40">
        <f>VLOOKUP(CONCATENATE(ხელფასები!D39,ხელფასები!E39),map!$A$1:$P$102,12,FALSE)</f>
        <v>0</v>
      </c>
      <c r="M40">
        <f>IF(VLOOKUP(CONCATENATE(ხელფასები!D39,ხელფასები!E39),map!$A$1:$P$102,10,FALSE)="0",ხელფასები!F39/0.8*0.2,(ხელფასები!F39/0.8/0.98-ხელფასები!F39/0.8/0.98*0.02)*0.2)</f>
        <v>0</v>
      </c>
      <c r="N40">
        <f>VLOOKUP(CONCATENATE(ხელფასები!D39,ხელფასები!E39),map!$A$1:$P$102,14,FALSE)</f>
        <v>0</v>
      </c>
      <c r="O40">
        <f>VLOOKUP(CONCATENATE(ხელფასები!D39,ხელფასები!E39),map!$A$1:$P$102,15,FALSE)</f>
        <v>0</v>
      </c>
      <c r="P40">
        <f>VLOOKUP(CONCATENATE(ხელფასები!D39,ხელფასები!E39),map!$A$1:$P$102,16,FALSE)</f>
        <v>0</v>
      </c>
    </row>
    <row r="41" spans="1:16">
      <c r="A41">
        <f>VLOOKUP(CONCATENATE(ხელფასები!D40,ხელფასები!E40),map!$A$1:$P$100,2,FALSE)</f>
        <v>0</v>
      </c>
      <c r="B41">
        <f>VLOOKUP(CONCATENATE(ხელფასები!D40,ხელფასები!E40),map!$A$1:$P$120,3,FALSE)</f>
        <v>0</v>
      </c>
      <c r="C41">
        <f>VLOOKUP(CONCATENATE(ხელფასები!D40,ხელფასები!E40),map!$A$1:$P$120,4,FALSE)</f>
        <v>0</v>
      </c>
      <c r="D41">
        <f>VLOOKUP(CONCATENATE(ხელფასები!D40,ხელფასები!E40),map!$A$1:$P$102,5,FALSE)</f>
        <v>0</v>
      </c>
      <c r="E41">
        <f>VLOOKUP(CONCATENATE(ხელფასები!D40,ხელფასები!E40),map!$A$1:$P$102,6,FALSE)</f>
        <v>0</v>
      </c>
      <c r="F41">
        <f>VLOOKUP(CONCATENATE(ხელფასები!D40,ხელფასები!E40),map!$A$1:$P$102,7,FALSE)</f>
        <v>0</v>
      </c>
      <c r="G41">
        <f>VLOOKUP(CONCATENATE(ხელფასები!D40,ხელფასები!E40),map!$A$1:$P$102,8,FALSE)</f>
        <v>0</v>
      </c>
      <c r="H41">
        <f>IF(VLOOKUP(CONCATENATE(ხელფასები!D40,ხელფასები!E40),map!$A$1:$P$102,10,FALSE)="0",ხელფასები!F40/0.8,ხელფასები!F40/0.8/0.98)</f>
        <v>0</v>
      </c>
      <c r="I41" s="5">
        <f>IF(VLOOKUP(CONCATENATE(ხელფასები!D40,ხელფასები!E40),map!$A$1:$P$102,10,FALSE)="0","0",ხელფასები!F40/0.8/0.98*0.02)</f>
        <v>0</v>
      </c>
      <c r="J41" s="5">
        <v>0</v>
      </c>
      <c r="K41" s="4" t="str">
        <f>CONCATENATE(IF(LEN(DAY(ხელფასები!C40))&gt;1,DAY(ხელფასები!C40),CONCATENATE("0",DAY(ხელფასები!C40))),"/",MONTH(ხელფასები!C40),"/",YEAR(ხელფასები!C40))</f>
        <v>00/1/1900</v>
      </c>
      <c r="L41">
        <f>VLOOKUP(CONCATENATE(ხელფასები!D40,ხელფასები!E40),map!$A$1:$P$102,12,FALSE)</f>
        <v>0</v>
      </c>
      <c r="M41">
        <f>IF(VLOOKUP(CONCATENATE(ხელფასები!D40,ხელფასები!E40),map!$A$1:$P$102,10,FALSE)="0",ხელფასები!F40/0.8*0.2,(ხელფასები!F40/0.8/0.98-ხელფასები!F40/0.8/0.98*0.02)*0.2)</f>
        <v>0</v>
      </c>
      <c r="N41">
        <f>VLOOKUP(CONCATENATE(ხელფასები!D40,ხელფასები!E40),map!$A$1:$P$102,14,FALSE)</f>
        <v>0</v>
      </c>
      <c r="O41">
        <f>VLOOKUP(CONCATENATE(ხელფასები!D40,ხელფასები!E40),map!$A$1:$P$102,15,FALSE)</f>
        <v>0</v>
      </c>
      <c r="P41">
        <f>VLOOKUP(CONCATENATE(ხელფასები!D40,ხელფასები!E40),map!$A$1:$P$102,16,FALSE)</f>
        <v>0</v>
      </c>
    </row>
    <row r="42" spans="1:16">
      <c r="A42">
        <f>VLOOKUP(CONCATENATE(ხელფასები!D41,ხელფასები!E41),map!$A$1:$P$100,2,FALSE)</f>
        <v>0</v>
      </c>
      <c r="B42">
        <f>VLOOKUP(CONCATENATE(ხელფასები!D41,ხელფასები!E41),map!$A$1:$P$120,3,FALSE)</f>
        <v>0</v>
      </c>
      <c r="C42">
        <f>VLOOKUP(CONCATENATE(ხელფასები!D41,ხელფასები!E41),map!$A$1:$P$120,4,FALSE)</f>
        <v>0</v>
      </c>
      <c r="D42">
        <f>VLOOKUP(CONCATENATE(ხელფასები!D41,ხელფასები!E41),map!$A$1:$P$102,5,FALSE)</f>
        <v>0</v>
      </c>
      <c r="E42">
        <f>VLOOKUP(CONCATENATE(ხელფასები!D41,ხელფასები!E41),map!$A$1:$P$102,6,FALSE)</f>
        <v>0</v>
      </c>
      <c r="F42">
        <f>VLOOKUP(CONCATENATE(ხელფასები!D41,ხელფასები!E41),map!$A$1:$P$102,7,FALSE)</f>
        <v>0</v>
      </c>
      <c r="G42">
        <f>VLOOKUP(CONCATENATE(ხელფასები!D41,ხელფასები!E41),map!$A$1:$P$102,8,FALSE)</f>
        <v>0</v>
      </c>
      <c r="H42">
        <f>IF(VLOOKUP(CONCATENATE(ხელფასები!D41,ხელფასები!E41),map!$A$1:$P$102,10,FALSE)="0",ხელფასები!F41/0.8,ხელფასები!F41/0.8/0.98)</f>
        <v>0</v>
      </c>
      <c r="I42" s="5">
        <f>IF(VLOOKUP(CONCATENATE(ხელფასები!D41,ხელფასები!E41),map!$A$1:$P$102,10,FALSE)="0","0",ხელფასები!F41/0.8/0.98*0.02)</f>
        <v>0</v>
      </c>
      <c r="J42" s="5">
        <v>0</v>
      </c>
      <c r="K42" s="4" t="str">
        <f>CONCATENATE(IF(LEN(DAY(ხელფასები!C41))&gt;1,DAY(ხელფასები!C41),CONCATENATE("0",DAY(ხელფასები!C41))),"/",MONTH(ხელფასები!C41),"/",YEAR(ხელფასები!C41))</f>
        <v>00/1/1900</v>
      </c>
      <c r="L42">
        <f>VLOOKUP(CONCATENATE(ხელფასები!D41,ხელფასები!E41),map!$A$1:$P$102,12,FALSE)</f>
        <v>0</v>
      </c>
      <c r="M42">
        <f>IF(VLOOKUP(CONCATENATE(ხელფასები!D41,ხელფასები!E41),map!$A$1:$P$102,10,FALSE)="0",ხელფასები!F41/0.8*0.2,(ხელფასები!F41/0.8/0.98-ხელფასები!F41/0.8/0.98*0.02)*0.2)</f>
        <v>0</v>
      </c>
      <c r="N42">
        <f>VLOOKUP(CONCATENATE(ხელფასები!D41,ხელფასები!E41),map!$A$1:$P$102,14,FALSE)</f>
        <v>0</v>
      </c>
      <c r="O42">
        <f>VLOOKUP(CONCATENATE(ხელფასები!D41,ხელფასები!E41),map!$A$1:$P$102,15,FALSE)</f>
        <v>0</v>
      </c>
      <c r="P42">
        <f>VLOOKUP(CONCATENATE(ხელფასები!D41,ხელფასები!E41),map!$A$1:$P$102,16,FALSE)</f>
        <v>0</v>
      </c>
    </row>
    <row r="43" spans="1:16">
      <c r="A43">
        <f>VLOOKUP(CONCATENATE(ხელფასები!D42,ხელფასები!E42),map!$A$1:$P$100,2,FALSE)</f>
        <v>0</v>
      </c>
      <c r="B43">
        <f>VLOOKUP(CONCATENATE(ხელფასები!D42,ხელფასები!E42),map!$A$1:$P$120,3,FALSE)</f>
        <v>0</v>
      </c>
      <c r="C43">
        <f>VLOOKUP(CONCATENATE(ხელფასები!D42,ხელფასები!E42),map!$A$1:$P$120,4,FALSE)</f>
        <v>0</v>
      </c>
      <c r="D43">
        <f>VLOOKUP(CONCATENATE(ხელფასები!D42,ხელფასები!E42),map!$A$1:$P$102,5,FALSE)</f>
        <v>0</v>
      </c>
      <c r="E43">
        <f>VLOOKUP(CONCATENATE(ხელფასები!D42,ხელფასები!E42),map!$A$1:$P$102,6,FALSE)</f>
        <v>0</v>
      </c>
      <c r="F43">
        <f>VLOOKUP(CONCATENATE(ხელფასები!D42,ხელფასები!E42),map!$A$1:$P$102,7,FALSE)</f>
        <v>0</v>
      </c>
      <c r="G43">
        <f>VLOOKUP(CONCATENATE(ხელფასები!D42,ხელფასები!E42),map!$A$1:$P$102,8,FALSE)</f>
        <v>0</v>
      </c>
      <c r="H43">
        <f>IF(VLOOKUP(CONCATENATE(ხელფასები!D42,ხელფასები!E42),map!$A$1:$P$102,10,FALSE)="0",ხელფასები!F42/0.8,ხელფასები!F42/0.8/0.98)</f>
        <v>0</v>
      </c>
      <c r="I43" s="5">
        <f>IF(VLOOKUP(CONCATENATE(ხელფასები!D42,ხელფასები!E42),map!$A$1:$P$102,10,FALSE)="0","0",ხელფასები!F42/0.8/0.98*0.02)</f>
        <v>0</v>
      </c>
      <c r="J43" s="5">
        <v>0</v>
      </c>
      <c r="K43" s="4" t="str">
        <f>CONCATENATE(IF(LEN(DAY(ხელფასები!C42))&gt;1,DAY(ხელფასები!C42),CONCATENATE("0",DAY(ხელფასები!C42))),"/",MONTH(ხელფასები!C42),"/",YEAR(ხელფასები!C42))</f>
        <v>00/1/1900</v>
      </c>
      <c r="L43">
        <f>VLOOKUP(CONCATENATE(ხელფასები!D42,ხელფასები!E42),map!$A$1:$P$102,12,FALSE)</f>
        <v>0</v>
      </c>
      <c r="M43">
        <f>IF(VLOOKUP(CONCATENATE(ხელფასები!D42,ხელფასები!E42),map!$A$1:$P$102,10,FALSE)="0",ხელფასები!F42/0.8*0.2,(ხელფასები!F42/0.8/0.98-ხელფასები!F42/0.8/0.98*0.02)*0.2)</f>
        <v>0</v>
      </c>
      <c r="N43">
        <f>VLOOKUP(CONCATENATE(ხელფასები!D42,ხელფასები!E42),map!$A$1:$P$102,14,FALSE)</f>
        <v>0</v>
      </c>
      <c r="O43">
        <f>VLOOKUP(CONCATENATE(ხელფასები!D42,ხელფასები!E42),map!$A$1:$P$102,15,FALSE)</f>
        <v>0</v>
      </c>
      <c r="P43">
        <f>VLOOKUP(CONCATENATE(ხელფასები!D42,ხელფასები!E42),map!$A$1:$P$102,16,FALSE)</f>
        <v>0</v>
      </c>
    </row>
    <row r="44" spans="1:16">
      <c r="A44">
        <f>VLOOKUP(CONCATENATE(ხელფასები!D43,ხელფასები!E43),map!$A$1:$P$100,2,FALSE)</f>
        <v>0</v>
      </c>
      <c r="B44">
        <f>VLOOKUP(CONCATENATE(ხელფასები!D43,ხელფასები!E43),map!$A$1:$P$120,3,FALSE)</f>
        <v>0</v>
      </c>
      <c r="C44">
        <f>VLOOKUP(CONCATENATE(ხელფასები!D43,ხელფასები!E43),map!$A$1:$P$120,4,FALSE)</f>
        <v>0</v>
      </c>
      <c r="D44">
        <f>VLOOKUP(CONCATENATE(ხელფასები!D43,ხელფასები!E43),map!$A$1:$P$102,5,FALSE)</f>
        <v>0</v>
      </c>
      <c r="E44">
        <f>VLOOKUP(CONCATENATE(ხელფასები!D43,ხელფასები!E43),map!$A$1:$P$102,6,FALSE)</f>
        <v>0</v>
      </c>
      <c r="F44">
        <f>VLOOKUP(CONCATENATE(ხელფასები!D43,ხელფასები!E43),map!$A$1:$P$102,7,FALSE)</f>
        <v>0</v>
      </c>
      <c r="G44">
        <f>VLOOKUP(CONCATENATE(ხელფასები!D43,ხელფასები!E43),map!$A$1:$P$102,8,FALSE)</f>
        <v>0</v>
      </c>
      <c r="H44">
        <f>IF(VLOOKUP(CONCATENATE(ხელფასები!D43,ხელფასები!E43),map!$A$1:$P$102,10,FALSE)="0",ხელფასები!F43/0.8,ხელფასები!F43/0.8/0.98)</f>
        <v>0</v>
      </c>
      <c r="I44" s="5">
        <f>IF(VLOOKUP(CONCATENATE(ხელფასები!D43,ხელფასები!E43),map!$A$1:$P$102,10,FALSE)="0","0",ხელფასები!F43/0.8/0.98*0.02)</f>
        <v>0</v>
      </c>
      <c r="J44" s="5">
        <v>0</v>
      </c>
      <c r="K44" s="4" t="str">
        <f>CONCATENATE(IF(LEN(DAY(ხელფასები!C43))&gt;1,DAY(ხელფასები!C43),CONCATENATE("0",DAY(ხელფასები!C43))),"/",MONTH(ხელფასები!C43),"/",YEAR(ხელფასები!C43))</f>
        <v>00/1/1900</v>
      </c>
      <c r="L44">
        <f>VLOOKUP(CONCATENATE(ხელფასები!D43,ხელფასები!E43),map!$A$1:$P$102,12,FALSE)</f>
        <v>0</v>
      </c>
      <c r="M44">
        <f>IF(VLOOKUP(CONCATENATE(ხელფასები!D43,ხელფასები!E43),map!$A$1:$P$102,10,FALSE)="0",ხელფასები!F43/0.8*0.2,(ხელფასები!F43/0.8/0.98-ხელფასები!F43/0.8/0.98*0.02)*0.2)</f>
        <v>0</v>
      </c>
      <c r="N44">
        <f>VLOOKUP(CONCATENATE(ხელფასები!D43,ხელფასები!E43),map!$A$1:$P$102,14,FALSE)</f>
        <v>0</v>
      </c>
      <c r="O44">
        <f>VLOOKUP(CONCATENATE(ხელფასები!D43,ხელფასები!E43),map!$A$1:$P$102,15,FALSE)</f>
        <v>0</v>
      </c>
      <c r="P44">
        <f>VLOOKUP(CONCATENATE(ხელფასები!D43,ხელფასები!E43),map!$A$1:$P$102,16,FALSE)</f>
        <v>0</v>
      </c>
    </row>
    <row r="45" spans="1:16">
      <c r="A45">
        <f>VLOOKUP(CONCATENATE(ხელფასები!D44,ხელფასები!E44),map!$A$1:$P$100,2,FALSE)</f>
        <v>0</v>
      </c>
      <c r="B45">
        <f>VLOOKUP(CONCATENATE(ხელფასები!D44,ხელფასები!E44),map!$A$1:$P$120,3,FALSE)</f>
        <v>0</v>
      </c>
      <c r="C45">
        <f>VLOOKUP(CONCATENATE(ხელფასები!D44,ხელფასები!E44),map!$A$1:$P$120,4,FALSE)</f>
        <v>0</v>
      </c>
      <c r="D45">
        <f>VLOOKUP(CONCATENATE(ხელფასები!D44,ხელფასები!E44),map!$A$1:$P$102,5,FALSE)</f>
        <v>0</v>
      </c>
      <c r="E45">
        <f>VLOOKUP(CONCATENATE(ხელფასები!D44,ხელფასები!E44),map!$A$1:$P$102,6,FALSE)</f>
        <v>0</v>
      </c>
      <c r="F45">
        <f>VLOOKUP(CONCATENATE(ხელფასები!D44,ხელფასები!E44),map!$A$1:$P$102,7,FALSE)</f>
        <v>0</v>
      </c>
      <c r="G45">
        <f>VLOOKUP(CONCATENATE(ხელფასები!D44,ხელფასები!E44),map!$A$1:$P$102,8,FALSE)</f>
        <v>0</v>
      </c>
      <c r="H45">
        <f>IF(VLOOKUP(CONCATENATE(ხელფასები!D44,ხელფასები!E44),map!$A$1:$P$102,10,FALSE)="0",ხელფასები!F44/0.8,ხელფასები!F44/0.8/0.98)</f>
        <v>0</v>
      </c>
      <c r="I45" s="5">
        <f>IF(VLOOKUP(CONCATENATE(ხელფასები!D44,ხელფასები!E44),map!$A$1:$P$102,10,FALSE)="0","0",ხელფასები!F44/0.8/0.98*0.02)</f>
        <v>0</v>
      </c>
      <c r="J45" s="5">
        <v>0</v>
      </c>
      <c r="K45" s="4" t="str">
        <f>CONCATENATE(IF(LEN(DAY(ხელფასები!C44))&gt;1,DAY(ხელფასები!C44),CONCATENATE("0",DAY(ხელფასები!C44))),"/",MONTH(ხელფასები!C44),"/",YEAR(ხელფასები!C44))</f>
        <v>00/1/1900</v>
      </c>
      <c r="L45">
        <f>VLOOKUP(CONCATENATE(ხელფასები!D44,ხელფასები!E44),map!$A$1:$P$102,12,FALSE)</f>
        <v>0</v>
      </c>
      <c r="M45">
        <f>IF(VLOOKUP(CONCATENATE(ხელფასები!D44,ხელფასები!E44),map!$A$1:$P$102,10,FALSE)="0",ხელფასები!F44/0.8*0.2,(ხელფასები!F44/0.8/0.98-ხელფასები!F44/0.8/0.98*0.02)*0.2)</f>
        <v>0</v>
      </c>
      <c r="N45">
        <f>VLOOKUP(CONCATENATE(ხელფასები!D44,ხელფასები!E44),map!$A$1:$P$102,14,FALSE)</f>
        <v>0</v>
      </c>
      <c r="O45">
        <f>VLOOKUP(CONCATENATE(ხელფასები!D44,ხელფასები!E44),map!$A$1:$P$102,15,FALSE)</f>
        <v>0</v>
      </c>
      <c r="P45">
        <f>VLOOKUP(CONCATENATE(ხელფასები!D44,ხელფასები!E44),map!$A$1:$P$102,16,FALSE)</f>
        <v>0</v>
      </c>
    </row>
    <row r="46" spans="1:16">
      <c r="A46">
        <f>VLOOKUP(CONCATENATE(ხელფასები!D45,ხელფასები!E45),map!$A$1:$P$100,2,FALSE)</f>
        <v>0</v>
      </c>
      <c r="B46">
        <f>VLOOKUP(CONCATENATE(ხელფასები!D45,ხელფასები!E45),map!$A$1:$P$120,3,FALSE)</f>
        <v>0</v>
      </c>
      <c r="C46">
        <f>VLOOKUP(CONCATENATE(ხელფასები!D45,ხელფასები!E45),map!$A$1:$P$120,4,FALSE)</f>
        <v>0</v>
      </c>
      <c r="D46">
        <f>VLOOKUP(CONCATENATE(ხელფასები!D45,ხელფასები!E45),map!$A$1:$P$102,5,FALSE)</f>
        <v>0</v>
      </c>
      <c r="E46">
        <f>VLOOKUP(CONCATENATE(ხელფასები!D45,ხელფასები!E45),map!$A$1:$P$102,6,FALSE)</f>
        <v>0</v>
      </c>
      <c r="F46">
        <f>VLOOKUP(CONCATENATE(ხელფასები!D45,ხელფასები!E45),map!$A$1:$P$102,7,FALSE)</f>
        <v>0</v>
      </c>
      <c r="G46">
        <f>VLOOKUP(CONCATENATE(ხელფასები!D45,ხელფასები!E45),map!$A$1:$P$102,8,FALSE)</f>
        <v>0</v>
      </c>
      <c r="H46">
        <f>IF(VLOOKUP(CONCATENATE(ხელფასები!D45,ხელფასები!E45),map!$A$1:$P$102,10,FALSE)="0",ხელფასები!F45/0.8,ხელფასები!F45/0.8/0.98)</f>
        <v>0</v>
      </c>
      <c r="I46" s="5">
        <f>IF(VLOOKUP(CONCATENATE(ხელფასები!D45,ხელფასები!E45),map!$A$1:$P$102,10,FALSE)="0","0",ხელფასები!F45/0.8/0.98*0.02)</f>
        <v>0</v>
      </c>
      <c r="J46" s="5">
        <v>0</v>
      </c>
      <c r="K46" s="4" t="str">
        <f>CONCATENATE(IF(LEN(DAY(ხელფასები!C45))&gt;1,DAY(ხელფასები!C45),CONCATENATE("0",DAY(ხელფასები!C45))),"/",MONTH(ხელფასები!C45),"/",YEAR(ხელფასები!C45))</f>
        <v>00/1/1900</v>
      </c>
      <c r="L46">
        <f>VLOOKUP(CONCATENATE(ხელფასები!D45,ხელფასები!E45),map!$A$1:$P$102,12,FALSE)</f>
        <v>0</v>
      </c>
      <c r="M46">
        <f>IF(VLOOKUP(CONCATENATE(ხელფასები!D45,ხელფასები!E45),map!$A$1:$P$102,10,FALSE)="0",ხელფასები!F45/0.8*0.2,(ხელფასები!F45/0.8/0.98-ხელფასები!F45/0.8/0.98*0.02)*0.2)</f>
        <v>0</v>
      </c>
      <c r="N46">
        <f>VLOOKUP(CONCATENATE(ხელფასები!D45,ხელფასები!E45),map!$A$1:$P$102,14,FALSE)</f>
        <v>0</v>
      </c>
      <c r="O46">
        <f>VLOOKUP(CONCATENATE(ხელფასები!D45,ხელფასები!E45),map!$A$1:$P$102,15,FALSE)</f>
        <v>0</v>
      </c>
      <c r="P46">
        <f>VLOOKUP(CONCATENATE(ხელფასები!D45,ხელფასები!E45),map!$A$1:$P$102,16,FALSE)</f>
        <v>0</v>
      </c>
    </row>
    <row r="47" spans="1:16">
      <c r="A47">
        <f>VLOOKUP(CONCATENATE(ხელფასები!D46,ხელფასები!E46),map!$A$1:$P$100,2,FALSE)</f>
        <v>0</v>
      </c>
      <c r="B47">
        <f>VLOOKUP(CONCATENATE(ხელფასები!D46,ხელფასები!E46),map!$A$1:$P$120,3,FALSE)</f>
        <v>0</v>
      </c>
      <c r="C47">
        <f>VLOOKUP(CONCATENATE(ხელფასები!D46,ხელფასები!E46),map!$A$1:$P$120,4,FALSE)</f>
        <v>0</v>
      </c>
      <c r="D47">
        <f>VLOOKUP(CONCATENATE(ხელფასები!D46,ხელფასები!E46),map!$A$1:$P$102,5,FALSE)</f>
        <v>0</v>
      </c>
      <c r="E47">
        <f>VLOOKUP(CONCATENATE(ხელფასები!D46,ხელფასები!E46),map!$A$1:$P$102,6,FALSE)</f>
        <v>0</v>
      </c>
      <c r="F47">
        <f>VLOOKUP(CONCATENATE(ხელფასები!D46,ხელფასები!E46),map!$A$1:$P$102,7,FALSE)</f>
        <v>0</v>
      </c>
      <c r="G47">
        <f>VLOOKUP(CONCATENATE(ხელფასები!D46,ხელფასები!E46),map!$A$1:$P$102,8,FALSE)</f>
        <v>0</v>
      </c>
      <c r="H47">
        <f>IF(VLOOKUP(CONCATENATE(ხელფასები!D46,ხელფასები!E46),map!$A$1:$P$102,10,FALSE)="0",ხელფასები!F46/0.8,ხელფასები!F46/0.8/0.98)</f>
        <v>0</v>
      </c>
      <c r="I47" s="5">
        <f>IF(VLOOKUP(CONCATENATE(ხელფასები!D46,ხელფასები!E46),map!$A$1:$P$102,10,FALSE)="0","0",ხელფასები!F46/0.8/0.98*0.02)</f>
        <v>0</v>
      </c>
      <c r="J47" s="5">
        <v>0</v>
      </c>
      <c r="K47" s="4" t="str">
        <f>CONCATENATE(IF(LEN(DAY(ხელფასები!C46))&gt;1,DAY(ხელფასები!C46),CONCATENATE("0",DAY(ხელფასები!C46))),"/",MONTH(ხელფასები!C46),"/",YEAR(ხელფასები!C46))</f>
        <v>00/1/1900</v>
      </c>
      <c r="L47">
        <f>VLOOKUP(CONCATENATE(ხელფასები!D46,ხელფასები!E46),map!$A$1:$P$102,12,FALSE)</f>
        <v>0</v>
      </c>
      <c r="M47">
        <f>IF(VLOOKUP(CONCATENATE(ხელფასები!D46,ხელფასები!E46),map!$A$1:$P$102,10,FALSE)="0",ხელფასები!F46/0.8*0.2,(ხელფასები!F46/0.8/0.98-ხელფასები!F46/0.8/0.98*0.02)*0.2)</f>
        <v>0</v>
      </c>
      <c r="N47">
        <f>VLOOKUP(CONCATENATE(ხელფასები!D46,ხელფასები!E46),map!$A$1:$P$102,14,FALSE)</f>
        <v>0</v>
      </c>
      <c r="O47">
        <f>VLOOKUP(CONCATENATE(ხელფასები!D46,ხელფასები!E46),map!$A$1:$P$102,15,FALSE)</f>
        <v>0</v>
      </c>
      <c r="P47">
        <f>VLOOKUP(CONCATENATE(ხელფასები!D46,ხელფასები!E46),map!$A$1:$P$102,16,FALSE)</f>
        <v>0</v>
      </c>
    </row>
    <row r="48" spans="1:16">
      <c r="A48">
        <f>VLOOKUP(CONCATENATE(ხელფასები!D47,ხელფასები!E47),map!$A$1:$P$100,2,FALSE)</f>
        <v>0</v>
      </c>
      <c r="B48">
        <f>VLOOKUP(CONCATENATE(ხელფასები!D47,ხელფასები!E47),map!$A$1:$P$120,3,FALSE)</f>
        <v>0</v>
      </c>
      <c r="C48">
        <f>VLOOKUP(CONCATENATE(ხელფასები!D47,ხელფასები!E47),map!$A$1:$P$120,4,FALSE)</f>
        <v>0</v>
      </c>
      <c r="D48">
        <f>VLOOKUP(CONCATENATE(ხელფასები!D47,ხელფასები!E47),map!$A$1:$P$102,5,FALSE)</f>
        <v>0</v>
      </c>
      <c r="E48">
        <f>VLOOKUP(CONCATENATE(ხელფასები!D47,ხელფასები!E47),map!$A$1:$P$102,6,FALSE)</f>
        <v>0</v>
      </c>
      <c r="F48">
        <f>VLOOKUP(CONCATENATE(ხელფასები!D47,ხელფასები!E47),map!$A$1:$P$102,7,FALSE)</f>
        <v>0</v>
      </c>
      <c r="G48">
        <f>VLOOKUP(CONCATENATE(ხელფასები!D47,ხელფასები!E47),map!$A$1:$P$102,8,FALSE)</f>
        <v>0</v>
      </c>
      <c r="H48">
        <f>IF(VLOOKUP(CONCATENATE(ხელფასები!D47,ხელფასები!E47),map!$A$1:$P$102,10,FALSE)="0",ხელფასები!F47/0.8,ხელფასები!F47/0.8/0.98)</f>
        <v>0</v>
      </c>
      <c r="I48" s="5">
        <f>IF(VLOOKUP(CONCATENATE(ხელფასები!D47,ხელფასები!E47),map!$A$1:$P$102,10,FALSE)="0","0",ხელფასები!F47/0.8/0.98*0.02)</f>
        <v>0</v>
      </c>
      <c r="J48" s="5">
        <v>0</v>
      </c>
      <c r="K48" s="4" t="str">
        <f>CONCATENATE(IF(LEN(DAY(ხელფასები!C47))&gt;1,DAY(ხელფასები!C47),CONCATENATE("0",DAY(ხელფასები!C47))),"/",MONTH(ხელფასები!C47),"/",YEAR(ხელფასები!C47))</f>
        <v>00/1/1900</v>
      </c>
      <c r="L48">
        <f>VLOOKUP(CONCATENATE(ხელფასები!D47,ხელფასები!E47),map!$A$1:$P$102,12,FALSE)</f>
        <v>0</v>
      </c>
      <c r="M48">
        <f>IF(VLOOKUP(CONCATENATE(ხელფასები!D47,ხელფასები!E47),map!$A$1:$P$102,10,FALSE)="0",ხელფასები!F47/0.8*0.2,(ხელფასები!F47/0.8/0.98-ხელფასები!F47/0.8/0.98*0.02)*0.2)</f>
        <v>0</v>
      </c>
      <c r="N48">
        <f>VLOOKUP(CONCATENATE(ხელფასები!D47,ხელფასები!E47),map!$A$1:$P$102,14,FALSE)</f>
        <v>0</v>
      </c>
      <c r="O48">
        <f>VLOOKUP(CONCATENATE(ხელფასები!D47,ხელფასები!E47),map!$A$1:$P$102,15,FALSE)</f>
        <v>0</v>
      </c>
      <c r="P48">
        <f>VLOOKUP(CONCATENATE(ხელფასები!D47,ხელფასები!E47),map!$A$1:$P$102,16,FALSE)</f>
        <v>0</v>
      </c>
    </row>
    <row r="49" spans="1:16">
      <c r="A49">
        <f>VLOOKUP(CONCATENATE(ხელფასები!D48,ხელფასები!E48),map!$A$1:$P$100,2,FALSE)</f>
        <v>0</v>
      </c>
      <c r="B49">
        <f>VLOOKUP(CONCATENATE(ხელფასები!D48,ხელფასები!E48),map!$A$1:$P$120,3,FALSE)</f>
        <v>0</v>
      </c>
      <c r="C49">
        <f>VLOOKUP(CONCATENATE(ხელფასები!D48,ხელფასები!E48),map!$A$1:$P$120,4,FALSE)</f>
        <v>0</v>
      </c>
      <c r="D49">
        <f>VLOOKUP(CONCATENATE(ხელფასები!D48,ხელფასები!E48),map!$A$1:$P$102,5,FALSE)</f>
        <v>0</v>
      </c>
      <c r="E49">
        <f>VLOOKUP(CONCATENATE(ხელფასები!D48,ხელფასები!E48),map!$A$1:$P$102,6,FALSE)</f>
        <v>0</v>
      </c>
      <c r="F49">
        <f>VLOOKUP(CONCATENATE(ხელფასები!D48,ხელფასები!E48),map!$A$1:$P$102,7,FALSE)</f>
        <v>0</v>
      </c>
      <c r="G49">
        <f>VLOOKUP(CONCATENATE(ხელფასები!D48,ხელფასები!E48),map!$A$1:$P$102,8,FALSE)</f>
        <v>0</v>
      </c>
      <c r="H49">
        <f>IF(VLOOKUP(CONCATENATE(ხელფასები!D48,ხელფასები!E48),map!$A$1:$P$102,10,FALSE)="0",ხელფასები!F48/0.8,ხელფასები!F48/0.8/0.98)</f>
        <v>0</v>
      </c>
      <c r="I49" s="5">
        <f>IF(VLOOKUP(CONCATENATE(ხელფასები!D48,ხელფასები!E48),map!$A$1:$P$102,10,FALSE)="0","0",ხელფასები!F48/0.8/0.98*0.02)</f>
        <v>0</v>
      </c>
      <c r="J49" s="5">
        <v>0</v>
      </c>
      <c r="K49" s="4" t="str">
        <f>CONCATENATE(IF(LEN(DAY(ხელფასები!C48))&gt;1,DAY(ხელფასები!C48),CONCATENATE("0",DAY(ხელფასები!C48))),"/",MONTH(ხელფასები!C48),"/",YEAR(ხელფასები!C48))</f>
        <v>00/1/1900</v>
      </c>
      <c r="L49">
        <f>VLOOKUP(CONCATENATE(ხელფასები!D48,ხელფასები!E48),map!$A$1:$P$102,12,FALSE)</f>
        <v>0</v>
      </c>
      <c r="M49">
        <f>IF(VLOOKUP(CONCATENATE(ხელფასები!D48,ხელფასები!E48),map!$A$1:$P$102,10,FALSE)="0",ხელფასები!F48/0.8*0.2,(ხელფასები!F48/0.8/0.98-ხელფასები!F48/0.8/0.98*0.02)*0.2)</f>
        <v>0</v>
      </c>
      <c r="N49">
        <f>VLOOKUP(CONCATENATE(ხელფასები!D48,ხელფასები!E48),map!$A$1:$P$102,14,FALSE)</f>
        <v>0</v>
      </c>
      <c r="O49">
        <f>VLOOKUP(CONCATENATE(ხელფასები!D48,ხელფასები!E48),map!$A$1:$P$102,15,FALSE)</f>
        <v>0</v>
      </c>
      <c r="P49">
        <f>VLOOKUP(CONCATENATE(ხელფასები!D48,ხელფასები!E48),map!$A$1:$P$102,16,FALSE)</f>
        <v>0</v>
      </c>
    </row>
    <row r="50" spans="1:16">
      <c r="A50">
        <f>VLOOKUP(CONCATENATE(ხელფასები!D49,ხელფასები!E49),map!$A$1:$P$100,2,FALSE)</f>
        <v>0</v>
      </c>
      <c r="B50">
        <f>VLOOKUP(CONCATENATE(ხელფასები!D49,ხელფასები!E49),map!$A$1:$P$120,3,FALSE)</f>
        <v>0</v>
      </c>
      <c r="C50">
        <f>VLOOKUP(CONCATENATE(ხელფასები!D49,ხელფასები!E49),map!$A$1:$P$120,4,FALSE)</f>
        <v>0</v>
      </c>
      <c r="D50">
        <f>VLOOKUP(CONCATENATE(ხელფასები!D49,ხელფასები!E49),map!$A$1:$P$102,5,FALSE)</f>
        <v>0</v>
      </c>
      <c r="E50">
        <f>VLOOKUP(CONCATENATE(ხელფასები!D49,ხელფასები!E49),map!$A$1:$P$102,6,FALSE)</f>
        <v>0</v>
      </c>
      <c r="F50">
        <f>VLOOKUP(CONCATENATE(ხელფასები!D49,ხელფასები!E49),map!$A$1:$P$102,7,FALSE)</f>
        <v>0</v>
      </c>
      <c r="G50">
        <f>VLOOKUP(CONCATENATE(ხელფასები!D49,ხელფასები!E49),map!$A$1:$P$102,8,FALSE)</f>
        <v>0</v>
      </c>
      <c r="H50">
        <f>IF(VLOOKUP(CONCATENATE(ხელფასები!D49,ხელფასები!E49),map!$A$1:$P$102,10,FALSE)="0",ხელფასები!F49/0.8,ხელფასები!F49/0.8/0.98)</f>
        <v>0</v>
      </c>
      <c r="I50" s="5">
        <f>IF(VLOOKUP(CONCATENATE(ხელფასები!D49,ხელფასები!E49),map!$A$1:$P$102,10,FALSE)="0","0",ხელფასები!F49/0.8/0.98*0.02)</f>
        <v>0</v>
      </c>
      <c r="J50" s="5">
        <v>0</v>
      </c>
      <c r="K50" s="4" t="str">
        <f>CONCATENATE(IF(LEN(DAY(ხელფასები!C49))&gt;1,DAY(ხელფასები!C49),CONCATENATE("0",DAY(ხელფასები!C49))),"/",MONTH(ხელფასები!C49),"/",YEAR(ხელფასები!C49))</f>
        <v>00/1/1900</v>
      </c>
      <c r="L50">
        <f>VLOOKUP(CONCATENATE(ხელფასები!D49,ხელფასები!E49),map!$A$1:$P$102,12,FALSE)</f>
        <v>0</v>
      </c>
      <c r="M50">
        <f>IF(VLOOKUP(CONCATENATE(ხელფასები!D49,ხელფასები!E49),map!$A$1:$P$102,10,FALSE)="0",ხელფასები!F49/0.8*0.2,(ხელფასები!F49/0.8/0.98-ხელფასები!F49/0.8/0.98*0.02)*0.2)</f>
        <v>0</v>
      </c>
      <c r="N50">
        <f>VLOOKUP(CONCATENATE(ხელფასები!D49,ხელფასები!E49),map!$A$1:$P$102,14,FALSE)</f>
        <v>0</v>
      </c>
      <c r="O50">
        <f>VLOOKUP(CONCATENATE(ხელფასები!D49,ხელფასები!E49),map!$A$1:$P$102,15,FALSE)</f>
        <v>0</v>
      </c>
      <c r="P50">
        <f>VLOOKUP(CONCATENATE(ხელფასები!D49,ხელფასები!E49),map!$A$1:$P$102,16,FALSE)</f>
        <v>0</v>
      </c>
    </row>
    <row r="51" spans="1:16">
      <c r="A51">
        <f>VLOOKUP(CONCATENATE(ხელფასები!D50,ხელფასები!E50),map!$A$1:$P$100,2,FALSE)</f>
        <v>0</v>
      </c>
      <c r="B51">
        <f>VLOOKUP(CONCATENATE(ხელფასები!D50,ხელფასები!E50),map!$A$1:$P$120,3,FALSE)</f>
        <v>0</v>
      </c>
      <c r="C51">
        <f>VLOOKUP(CONCATENATE(ხელფასები!D50,ხელფასები!E50),map!$A$1:$P$120,4,FALSE)</f>
        <v>0</v>
      </c>
      <c r="D51">
        <f>VLOOKUP(CONCATENATE(ხელფასები!D50,ხელფასები!E50),map!$A$1:$P$102,5,FALSE)</f>
        <v>0</v>
      </c>
      <c r="E51">
        <f>VLOOKUP(CONCATENATE(ხელფასები!D50,ხელფასები!E50),map!$A$1:$P$102,6,FALSE)</f>
        <v>0</v>
      </c>
      <c r="F51">
        <f>VLOOKUP(CONCATENATE(ხელფასები!D50,ხელფასები!E50),map!$A$1:$P$102,7,FALSE)</f>
        <v>0</v>
      </c>
      <c r="G51">
        <f>VLOOKUP(CONCATENATE(ხელფასები!D50,ხელფასები!E50),map!$A$1:$P$102,8,FALSE)</f>
        <v>0</v>
      </c>
      <c r="H51">
        <f>IF(VLOOKUP(CONCATENATE(ხელფასები!D50,ხელფასები!E50),map!$A$1:$P$102,10,FALSE)="0",ხელფასები!F50/0.8,ხელფასები!F50/0.8/0.98)</f>
        <v>0</v>
      </c>
      <c r="I51" s="5">
        <f>IF(VLOOKUP(CONCATENATE(ხელფასები!D50,ხელფასები!E50),map!$A$1:$P$102,10,FALSE)="0","0",ხელფასები!F50/0.8/0.98*0.02)</f>
        <v>0</v>
      </c>
      <c r="J51" s="5">
        <v>0</v>
      </c>
      <c r="K51" s="4" t="str">
        <f>CONCATENATE(IF(LEN(DAY(ხელფასები!C50))&gt;1,DAY(ხელფასები!C50),CONCATENATE("0",DAY(ხელფასები!C50))),"/",MONTH(ხელფასები!C50),"/",YEAR(ხელფასები!C50))</f>
        <v>00/1/1900</v>
      </c>
      <c r="L51">
        <f>VLOOKUP(CONCATENATE(ხელფასები!D50,ხელფასები!E50),map!$A$1:$P$102,12,FALSE)</f>
        <v>0</v>
      </c>
      <c r="M51">
        <f>IF(VLOOKUP(CONCATENATE(ხელფასები!D50,ხელფასები!E50),map!$A$1:$P$102,10,FALSE)="0",ხელფასები!F50/0.8*0.2,(ხელფასები!F50/0.8/0.98-ხელფასები!F50/0.8/0.98*0.02)*0.2)</f>
        <v>0</v>
      </c>
      <c r="N51">
        <f>VLOOKUP(CONCATENATE(ხელფასები!D50,ხელფასები!E50),map!$A$1:$P$102,14,FALSE)</f>
        <v>0</v>
      </c>
      <c r="O51">
        <f>VLOOKUP(CONCATENATE(ხელფასები!D50,ხელფასები!E50),map!$A$1:$P$102,15,FALSE)</f>
        <v>0</v>
      </c>
      <c r="P51">
        <f>VLOOKUP(CONCATENATE(ხელფასები!D50,ხელფასები!E50),map!$A$1:$P$102,16,FALSE)</f>
        <v>0</v>
      </c>
    </row>
    <row r="52" spans="1:16">
      <c r="A52">
        <f>VLOOKUP(CONCATENATE(ხელფასები!D51,ხელფასები!E51),map!$A$1:$P$100,2,FALSE)</f>
        <v>0</v>
      </c>
      <c r="B52">
        <f>VLOOKUP(CONCATENATE(ხელფასები!D51,ხელფასები!E51),map!$A$1:$P$120,3,FALSE)</f>
        <v>0</v>
      </c>
      <c r="C52">
        <f>VLOOKUP(CONCATENATE(ხელფასები!D51,ხელფასები!E51),map!$A$1:$P$120,4,FALSE)</f>
        <v>0</v>
      </c>
      <c r="D52">
        <f>VLOOKUP(CONCATENATE(ხელფასები!D51,ხელფასები!E51),map!$A$1:$P$102,5,FALSE)</f>
        <v>0</v>
      </c>
      <c r="E52">
        <f>VLOOKUP(CONCATENATE(ხელფასები!D51,ხელფასები!E51),map!$A$1:$P$102,6,FALSE)</f>
        <v>0</v>
      </c>
      <c r="F52">
        <f>VLOOKUP(CONCATENATE(ხელფასები!D51,ხელფასები!E51),map!$A$1:$P$102,7,FALSE)</f>
        <v>0</v>
      </c>
      <c r="G52">
        <f>VLOOKUP(CONCATENATE(ხელფასები!D51,ხელფასები!E51),map!$A$1:$P$102,8,FALSE)</f>
        <v>0</v>
      </c>
      <c r="H52">
        <f>IF(VLOOKUP(CONCATENATE(ხელფასები!D51,ხელფასები!E51),map!$A$1:$P$102,10,FALSE)="0",ხელფასები!F51/0.8,ხელფასები!F51/0.8/0.98)</f>
        <v>0</v>
      </c>
      <c r="I52" s="5">
        <f>IF(VLOOKUP(CONCATENATE(ხელფასები!D51,ხელფასები!E51),map!$A$1:$P$102,10,FALSE)="0","0",ხელფასები!F51/0.8/0.98*0.02)</f>
        <v>0</v>
      </c>
      <c r="J52" s="5">
        <v>0</v>
      </c>
      <c r="K52" s="4" t="str">
        <f>CONCATENATE(IF(LEN(DAY(ხელფასები!C51))&gt;1,DAY(ხელფასები!C51),CONCATENATE("0",DAY(ხელფასები!C51))),"/",MONTH(ხელფასები!C51),"/",YEAR(ხელფასები!C51))</f>
        <v>00/1/1900</v>
      </c>
      <c r="L52">
        <f>VLOOKUP(CONCATENATE(ხელფასები!D51,ხელფასები!E51),map!$A$1:$P$102,12,FALSE)</f>
        <v>0</v>
      </c>
      <c r="M52">
        <f>IF(VLOOKUP(CONCATENATE(ხელფასები!D51,ხელფასები!E51),map!$A$1:$P$102,10,FALSE)="0",ხელფასები!F51/0.8*0.2,(ხელფასები!F51/0.8/0.98-ხელფასები!F51/0.8/0.98*0.02)*0.2)</f>
        <v>0</v>
      </c>
      <c r="N52">
        <f>VLOOKUP(CONCATENATE(ხელფასები!D51,ხელფასები!E51),map!$A$1:$P$102,14,FALSE)</f>
        <v>0</v>
      </c>
      <c r="O52">
        <f>VLOOKUP(CONCATENATE(ხელფასები!D51,ხელფასები!E51),map!$A$1:$P$102,15,FALSE)</f>
        <v>0</v>
      </c>
      <c r="P52">
        <f>VLOOKUP(CONCATENATE(ხელფასები!D51,ხელფასები!E51),map!$A$1:$P$102,16,FALSE)</f>
        <v>0</v>
      </c>
    </row>
    <row r="53" spans="1:16">
      <c r="A53">
        <f>VLOOKUP(CONCATENATE(ხელფასები!D52,ხელფასები!E52),map!$A$1:$P$100,2,FALSE)</f>
        <v>0</v>
      </c>
      <c r="B53">
        <f>VLOOKUP(CONCATENATE(ხელფასები!D52,ხელფასები!E52),map!$A$1:$P$120,3,FALSE)</f>
        <v>0</v>
      </c>
      <c r="C53">
        <f>VLOOKUP(CONCATENATE(ხელფასები!D52,ხელფასები!E52),map!$A$1:$P$120,4,FALSE)</f>
        <v>0</v>
      </c>
      <c r="D53">
        <f>VLOOKUP(CONCATENATE(ხელფასები!D52,ხელფასები!E52),map!$A$1:$P$102,5,FALSE)</f>
        <v>0</v>
      </c>
      <c r="E53">
        <f>VLOOKUP(CONCATENATE(ხელფასები!D52,ხელფასები!E52),map!$A$1:$P$102,6,FALSE)</f>
        <v>0</v>
      </c>
      <c r="F53">
        <f>VLOOKUP(CONCATENATE(ხელფასები!D52,ხელფასები!E52),map!$A$1:$P$102,7,FALSE)</f>
        <v>0</v>
      </c>
      <c r="G53">
        <f>VLOOKUP(CONCATENATE(ხელფასები!D52,ხელფასები!E52),map!$A$1:$P$102,8,FALSE)</f>
        <v>0</v>
      </c>
      <c r="H53">
        <f>IF(VLOOKUP(CONCATENATE(ხელფასები!D52,ხელფასები!E52),map!$A$1:$P$102,10,FALSE)="0",ხელფასები!F52/0.8,ხელფასები!F52/0.8/0.98)</f>
        <v>0</v>
      </c>
      <c r="I53" s="5">
        <f>IF(VLOOKUP(CONCATENATE(ხელფასები!D52,ხელფასები!E52),map!$A$1:$P$102,10,FALSE)="0","0",ხელფასები!F52/0.8/0.98*0.02)</f>
        <v>0</v>
      </c>
      <c r="J53" s="5">
        <v>0</v>
      </c>
      <c r="K53" s="4" t="str">
        <f>CONCATENATE(IF(LEN(DAY(ხელფასები!C52))&gt;1,DAY(ხელფასები!C52),CONCATENATE("0",DAY(ხელფასები!C52))),"/",MONTH(ხელფასები!C52),"/",YEAR(ხელფასები!C52))</f>
        <v>00/1/1900</v>
      </c>
      <c r="L53">
        <f>VLOOKUP(CONCATENATE(ხელფასები!D52,ხელფასები!E52),map!$A$1:$P$102,12,FALSE)</f>
        <v>0</v>
      </c>
      <c r="M53">
        <f>IF(VLOOKUP(CONCATENATE(ხელფასები!D52,ხელფასები!E52),map!$A$1:$P$102,10,FALSE)="0",ხელფასები!F52/0.8*0.2,(ხელფასები!F52/0.8/0.98-ხელფასები!F52/0.8/0.98*0.02)*0.2)</f>
        <v>0</v>
      </c>
      <c r="N53">
        <f>VLOOKUP(CONCATENATE(ხელფასები!D52,ხელფასები!E52),map!$A$1:$P$102,14,FALSE)</f>
        <v>0</v>
      </c>
      <c r="O53">
        <f>VLOOKUP(CONCATENATE(ხელფასები!D52,ხელფასები!E52),map!$A$1:$P$102,15,FALSE)</f>
        <v>0</v>
      </c>
      <c r="P53">
        <f>VLOOKUP(CONCATENATE(ხელფასები!D52,ხელფასები!E52),map!$A$1:$P$102,16,FALSE)</f>
        <v>0</v>
      </c>
    </row>
    <row r="54" spans="1:16">
      <c r="A54">
        <f>VLOOKUP(CONCATENATE(ხელფასები!D53,ხელფასები!E53),map!$A$1:$P$100,2,FALSE)</f>
        <v>0</v>
      </c>
      <c r="B54">
        <f>VLOOKUP(CONCATENATE(ხელფასები!D53,ხელფასები!E53),map!$A$1:$P$120,3,FALSE)</f>
        <v>0</v>
      </c>
      <c r="C54">
        <f>VLOOKUP(CONCATENATE(ხელფასები!D53,ხელფასები!E53),map!$A$1:$P$120,4,FALSE)</f>
        <v>0</v>
      </c>
      <c r="D54">
        <f>VLOOKUP(CONCATENATE(ხელფასები!D53,ხელფასები!E53),map!$A$1:$P$102,5,FALSE)</f>
        <v>0</v>
      </c>
      <c r="E54">
        <f>VLOOKUP(CONCATENATE(ხელფასები!D53,ხელფასები!E53),map!$A$1:$P$102,6,FALSE)</f>
        <v>0</v>
      </c>
      <c r="F54">
        <f>VLOOKUP(CONCATENATE(ხელფასები!D53,ხელფასები!E53),map!$A$1:$P$102,7,FALSE)</f>
        <v>0</v>
      </c>
      <c r="G54">
        <f>VLOOKUP(CONCATENATE(ხელფასები!D53,ხელფასები!E53),map!$A$1:$P$102,8,FALSE)</f>
        <v>0</v>
      </c>
      <c r="H54">
        <f>IF(VLOOKUP(CONCATENATE(ხელფასები!D53,ხელფასები!E53),map!$A$1:$P$102,10,FALSE)="0",ხელფასები!F53/0.8,ხელფასები!F53/0.8/0.98)</f>
        <v>0</v>
      </c>
      <c r="I54" s="5">
        <f>IF(VLOOKUP(CONCATENATE(ხელფასები!D53,ხელფასები!E53),map!$A$1:$P$102,10,FALSE)="0","0",ხელფასები!F53/0.8/0.98*0.02)</f>
        <v>0</v>
      </c>
      <c r="J54" s="5">
        <v>0</v>
      </c>
      <c r="K54" s="4" t="str">
        <f>CONCATENATE(IF(LEN(DAY(ხელფასები!C53))&gt;1,DAY(ხელფასები!C53),CONCATENATE("0",DAY(ხელფასები!C53))),"/",MONTH(ხელფასები!C53),"/",YEAR(ხელფასები!C53))</f>
        <v>00/1/1900</v>
      </c>
      <c r="L54">
        <f>VLOOKUP(CONCATENATE(ხელფასები!D53,ხელფასები!E53),map!$A$1:$P$102,12,FALSE)</f>
        <v>0</v>
      </c>
      <c r="M54">
        <f>IF(VLOOKUP(CONCATENATE(ხელფასები!D53,ხელფასები!E53),map!$A$1:$P$102,10,FALSE)="0",ხელფასები!F53/0.8*0.2,(ხელფასები!F53/0.8/0.98-ხელფასები!F53/0.8/0.98*0.02)*0.2)</f>
        <v>0</v>
      </c>
      <c r="N54">
        <f>VLOOKUP(CONCATENATE(ხელფასები!D53,ხელფასები!E53),map!$A$1:$P$102,14,FALSE)</f>
        <v>0</v>
      </c>
      <c r="O54">
        <f>VLOOKUP(CONCATENATE(ხელფასები!D53,ხელფასები!E53),map!$A$1:$P$102,15,FALSE)</f>
        <v>0</v>
      </c>
      <c r="P54">
        <f>VLOOKUP(CONCATENATE(ხელფასები!D53,ხელფასები!E53),map!$A$1:$P$102,16,FALSE)</f>
        <v>0</v>
      </c>
    </row>
    <row r="55" spans="1:16">
      <c r="A55">
        <f>VLOOKUP(CONCATENATE(ხელფასები!D54,ხელფასები!E54),map!$A$1:$P$100,2,FALSE)</f>
        <v>0</v>
      </c>
      <c r="B55">
        <f>VLOOKUP(CONCATENATE(ხელფასები!D54,ხელფასები!E54),map!$A$1:$P$120,3,FALSE)</f>
        <v>0</v>
      </c>
      <c r="C55">
        <f>VLOOKUP(CONCATENATE(ხელფასები!D54,ხელფასები!E54),map!$A$1:$P$120,4,FALSE)</f>
        <v>0</v>
      </c>
      <c r="D55">
        <f>VLOOKUP(CONCATENATE(ხელფასები!D54,ხელფასები!E54),map!$A$1:$P$102,5,FALSE)</f>
        <v>0</v>
      </c>
      <c r="E55">
        <f>VLOOKUP(CONCATENATE(ხელფასები!D54,ხელფასები!E54),map!$A$1:$P$102,6,FALSE)</f>
        <v>0</v>
      </c>
      <c r="F55">
        <f>VLOOKUP(CONCATENATE(ხელფასები!D54,ხელფასები!E54),map!$A$1:$P$102,7,FALSE)</f>
        <v>0</v>
      </c>
      <c r="G55">
        <f>VLOOKUP(CONCATENATE(ხელფასები!D54,ხელფასები!E54),map!$A$1:$P$102,8,FALSE)</f>
        <v>0</v>
      </c>
      <c r="H55">
        <f>IF(VLOOKUP(CONCATENATE(ხელფასები!D54,ხელფასები!E54),map!$A$1:$P$102,10,FALSE)="0",ხელფასები!F54/0.8,ხელფასები!F54/0.8/0.98)</f>
        <v>0</v>
      </c>
      <c r="I55" s="5">
        <f>IF(VLOOKUP(CONCATENATE(ხელფასები!D54,ხელფასები!E54),map!$A$1:$P$102,10,FALSE)="0","0",ხელფასები!F54/0.8/0.98*0.02)</f>
        <v>0</v>
      </c>
      <c r="J55" s="5">
        <v>0</v>
      </c>
      <c r="K55" s="4" t="str">
        <f>CONCATENATE(IF(LEN(DAY(ხელფასები!C54))&gt;1,DAY(ხელფასები!C54),CONCATENATE("0",DAY(ხელფასები!C54))),"/",MONTH(ხელფასები!C54),"/",YEAR(ხელფასები!C54))</f>
        <v>00/1/1900</v>
      </c>
      <c r="L55">
        <f>VLOOKUP(CONCATENATE(ხელფასები!D54,ხელფასები!E54),map!$A$1:$P$102,12,FALSE)</f>
        <v>0</v>
      </c>
      <c r="M55">
        <f>IF(VLOOKUP(CONCATENATE(ხელფასები!D54,ხელფასები!E54),map!$A$1:$P$102,10,FALSE)="0",ხელფასები!F54/0.8*0.2,(ხელფასები!F54/0.8/0.98-ხელფასები!F54/0.8/0.98*0.02)*0.2)</f>
        <v>0</v>
      </c>
      <c r="N55">
        <f>VLOOKUP(CONCATENATE(ხელფასები!D54,ხელფასები!E54),map!$A$1:$P$102,14,FALSE)</f>
        <v>0</v>
      </c>
      <c r="O55">
        <f>VLOOKUP(CONCATENATE(ხელფასები!D54,ხელფასები!E54),map!$A$1:$P$102,15,FALSE)</f>
        <v>0</v>
      </c>
      <c r="P55">
        <f>VLOOKUP(CONCATENATE(ხელფასები!D54,ხელფასები!E54),map!$A$1:$P$102,16,FALSE)</f>
        <v>0</v>
      </c>
    </row>
    <row r="56" spans="1:16">
      <c r="A56">
        <f>VLOOKUP(CONCATENATE(ხელფასები!D55,ხელფასები!E55),map!$A$1:$P$100,2,FALSE)</f>
        <v>0</v>
      </c>
      <c r="B56">
        <f>VLOOKUP(CONCATENATE(ხელფასები!D55,ხელფასები!E55),map!$A$1:$P$120,3,FALSE)</f>
        <v>0</v>
      </c>
      <c r="C56">
        <f>VLOOKUP(CONCATENATE(ხელფასები!D55,ხელფასები!E55),map!$A$1:$P$120,4,FALSE)</f>
        <v>0</v>
      </c>
      <c r="D56">
        <f>VLOOKUP(CONCATENATE(ხელფასები!D55,ხელფასები!E55),map!$A$1:$P$102,5,FALSE)</f>
        <v>0</v>
      </c>
      <c r="E56">
        <f>VLOOKUP(CONCATENATE(ხელფასები!D55,ხელფასები!E55),map!$A$1:$P$102,6,FALSE)</f>
        <v>0</v>
      </c>
      <c r="F56">
        <f>VLOOKUP(CONCATENATE(ხელფასები!D55,ხელფასები!E55),map!$A$1:$P$102,7,FALSE)</f>
        <v>0</v>
      </c>
      <c r="G56">
        <f>VLOOKUP(CONCATENATE(ხელფასები!D55,ხელფასები!E55),map!$A$1:$P$102,8,FALSE)</f>
        <v>0</v>
      </c>
      <c r="H56">
        <f>IF(VLOOKUP(CONCATENATE(ხელფასები!D55,ხელფასები!E55),map!$A$1:$P$102,10,FALSE)="0",ხელფასები!F55/0.8,ხელფასები!F55/0.8/0.98)</f>
        <v>0</v>
      </c>
      <c r="I56" s="5">
        <f>IF(VLOOKUP(CONCATENATE(ხელფასები!D55,ხელფასები!E55),map!$A$1:$P$102,10,FALSE)="0","0",ხელფასები!F55/0.8/0.98*0.02)</f>
        <v>0</v>
      </c>
      <c r="J56" s="5">
        <v>0</v>
      </c>
      <c r="K56" s="4" t="str">
        <f>CONCATENATE(IF(LEN(DAY(ხელფასები!C55))&gt;1,DAY(ხელფასები!C55),CONCATENATE("0",DAY(ხელფასები!C55))),"/",MONTH(ხელფასები!C55),"/",YEAR(ხელფასები!C55))</f>
        <v>00/1/1900</v>
      </c>
      <c r="L56">
        <f>VLOOKUP(CONCATENATE(ხელფასები!D55,ხელფასები!E55),map!$A$1:$P$102,12,FALSE)</f>
        <v>0</v>
      </c>
      <c r="M56">
        <f>IF(VLOOKUP(CONCATENATE(ხელფასები!D55,ხელფასები!E55),map!$A$1:$P$102,10,FALSE)="0",ხელფასები!F55/0.8*0.2,(ხელფასები!F55/0.8/0.98-ხელფასები!F55/0.8/0.98*0.02)*0.2)</f>
        <v>0</v>
      </c>
      <c r="N56">
        <f>VLOOKUP(CONCATENATE(ხელფასები!D55,ხელფასები!E55),map!$A$1:$P$102,14,FALSE)</f>
        <v>0</v>
      </c>
      <c r="O56">
        <f>VLOOKUP(CONCATENATE(ხელფასები!D55,ხელფასები!E55),map!$A$1:$P$102,15,FALSE)</f>
        <v>0</v>
      </c>
      <c r="P56">
        <f>VLOOKUP(CONCATENATE(ხელფასები!D55,ხელფასები!E55),map!$A$1:$P$102,16,FALSE)</f>
        <v>0</v>
      </c>
    </row>
    <row r="57" spans="1:16">
      <c r="A57">
        <f>VLOOKUP(CONCATENATE(ხელფასები!D56,ხელფასები!E56),map!$A$1:$P$100,2,FALSE)</f>
        <v>0</v>
      </c>
      <c r="B57">
        <f>VLOOKUP(CONCATENATE(ხელფასები!D56,ხელფასები!E56),map!$A$1:$P$120,3,FALSE)</f>
        <v>0</v>
      </c>
      <c r="C57">
        <f>VLOOKUP(CONCATENATE(ხელფასები!D56,ხელფასები!E56),map!$A$1:$P$120,4,FALSE)</f>
        <v>0</v>
      </c>
      <c r="D57">
        <f>VLOOKUP(CONCATENATE(ხელფასები!D56,ხელფასები!E56),map!$A$1:$P$102,5,FALSE)</f>
        <v>0</v>
      </c>
      <c r="E57">
        <f>VLOOKUP(CONCATENATE(ხელფასები!D56,ხელფასები!E56),map!$A$1:$P$102,6,FALSE)</f>
        <v>0</v>
      </c>
      <c r="F57">
        <f>VLOOKUP(CONCATENATE(ხელფასები!D56,ხელფასები!E56),map!$A$1:$P$102,7,FALSE)</f>
        <v>0</v>
      </c>
      <c r="G57">
        <f>VLOOKUP(CONCATENATE(ხელფასები!D56,ხელფასები!E56),map!$A$1:$P$102,8,FALSE)</f>
        <v>0</v>
      </c>
      <c r="H57">
        <f>IF(VLOOKUP(CONCATENATE(ხელფასები!D56,ხელფასები!E56),map!$A$1:$P$102,10,FALSE)="0",ხელფასები!F56/0.8,ხელფასები!F56/0.8/0.98)</f>
        <v>0</v>
      </c>
      <c r="I57" s="5">
        <f>IF(VLOOKUP(CONCATENATE(ხელფასები!D56,ხელფასები!E56),map!$A$1:$P$102,10,FALSE)="0","0",ხელფასები!F56/0.8/0.98*0.02)</f>
        <v>0</v>
      </c>
      <c r="J57" s="5">
        <v>0</v>
      </c>
      <c r="K57" s="4" t="str">
        <f>CONCATENATE(IF(LEN(DAY(ხელფასები!C56))&gt;1,DAY(ხელფასები!C56),CONCATENATE("0",DAY(ხელფასები!C56))),"/",MONTH(ხელფასები!C56),"/",YEAR(ხელფასები!C56))</f>
        <v>00/1/1900</v>
      </c>
      <c r="L57">
        <f>VLOOKUP(CONCATENATE(ხელფასები!D56,ხელფასები!E56),map!$A$1:$P$102,12,FALSE)</f>
        <v>0</v>
      </c>
      <c r="M57">
        <f>IF(VLOOKUP(CONCATENATE(ხელფასები!D56,ხელფასები!E56),map!$A$1:$P$102,10,FALSE)="0",ხელფასები!F56/0.8*0.2,(ხელფასები!F56/0.8/0.98-ხელფასები!F56/0.8/0.98*0.02)*0.2)</f>
        <v>0</v>
      </c>
      <c r="N57">
        <f>VLOOKUP(CONCATENATE(ხელფასები!D56,ხელფასები!E56),map!$A$1:$P$102,14,FALSE)</f>
        <v>0</v>
      </c>
      <c r="O57">
        <f>VLOOKUP(CONCATENATE(ხელფასები!D56,ხელფასები!E56),map!$A$1:$P$102,15,FALSE)</f>
        <v>0</v>
      </c>
      <c r="P57">
        <f>VLOOKUP(CONCATENATE(ხელფასები!D56,ხელფასები!E56),map!$A$1:$P$102,16,FALSE)</f>
        <v>0</v>
      </c>
    </row>
    <row r="58" spans="1:16">
      <c r="A58">
        <f>VLOOKUP(CONCATENATE(ხელფასები!D57,ხელფასები!E57),map!$A$1:$P$100,2,FALSE)</f>
        <v>0</v>
      </c>
      <c r="B58">
        <f>VLOOKUP(CONCATENATE(ხელფასები!D57,ხელფასები!E57),map!$A$1:$P$120,3,FALSE)</f>
        <v>0</v>
      </c>
      <c r="C58">
        <f>VLOOKUP(CONCATENATE(ხელფასები!D57,ხელფასები!E57),map!$A$1:$P$120,4,FALSE)</f>
        <v>0</v>
      </c>
      <c r="D58">
        <f>VLOOKUP(CONCATENATE(ხელფასები!D57,ხელფასები!E57),map!$A$1:$P$102,5,FALSE)</f>
        <v>0</v>
      </c>
      <c r="E58">
        <f>VLOOKUP(CONCATENATE(ხელფასები!D57,ხელფასები!E57),map!$A$1:$P$102,6,FALSE)</f>
        <v>0</v>
      </c>
      <c r="F58">
        <f>VLOOKUP(CONCATENATE(ხელფასები!D57,ხელფასები!E57),map!$A$1:$P$102,7,FALSE)</f>
        <v>0</v>
      </c>
      <c r="G58">
        <f>VLOOKUP(CONCATENATE(ხელფასები!D57,ხელფასები!E57),map!$A$1:$P$102,8,FALSE)</f>
        <v>0</v>
      </c>
      <c r="H58">
        <f>IF(VLOOKUP(CONCATENATE(ხელფასები!D57,ხელფასები!E57),map!$A$1:$P$102,10,FALSE)="0",ხელფასები!F57/0.8,ხელფასები!F57/0.8/0.98)</f>
        <v>0</v>
      </c>
      <c r="I58" s="5">
        <f>IF(VLOOKUP(CONCATENATE(ხელფასები!D57,ხელფასები!E57),map!$A$1:$P$102,10,FALSE)="0","0",ხელფასები!F57/0.8/0.98*0.02)</f>
        <v>0</v>
      </c>
      <c r="J58" s="5">
        <v>0</v>
      </c>
      <c r="K58" s="4" t="str">
        <f>CONCATENATE(IF(LEN(DAY(ხელფასები!C57))&gt;1,DAY(ხელფასები!C57),CONCATENATE("0",DAY(ხელფასები!C57))),"/",MONTH(ხელფასები!C57),"/",YEAR(ხელფასები!C57))</f>
        <v>00/1/1900</v>
      </c>
      <c r="L58">
        <f>VLOOKUP(CONCATENATE(ხელფასები!D57,ხელფასები!E57),map!$A$1:$P$102,12,FALSE)</f>
        <v>0</v>
      </c>
      <c r="M58">
        <f>IF(VLOOKUP(CONCATENATE(ხელფასები!D57,ხელფასები!E57),map!$A$1:$P$102,10,FALSE)="0",ხელფასები!F57/0.8*0.2,(ხელფასები!F57/0.8/0.98-ხელფასები!F57/0.8/0.98*0.02)*0.2)</f>
        <v>0</v>
      </c>
      <c r="N58">
        <f>VLOOKUP(CONCATENATE(ხელფასები!D57,ხელფასები!E57),map!$A$1:$P$102,14,FALSE)</f>
        <v>0</v>
      </c>
      <c r="O58">
        <f>VLOOKUP(CONCATENATE(ხელფასები!D57,ხელფასები!E57),map!$A$1:$P$102,15,FALSE)</f>
        <v>0</v>
      </c>
      <c r="P58">
        <f>VLOOKUP(CONCATENATE(ხელფასები!D57,ხელფასები!E57),map!$A$1:$P$102,16,FALSE)</f>
        <v>0</v>
      </c>
    </row>
    <row r="59" spans="1:16">
      <c r="A59">
        <f>VLOOKUP(CONCATENATE(ხელფასები!D58,ხელფასები!E58),map!$A$1:$P$100,2,FALSE)</f>
        <v>0</v>
      </c>
      <c r="B59">
        <f>VLOOKUP(CONCATENATE(ხელფასები!D58,ხელფასები!E58),map!$A$1:$P$120,3,FALSE)</f>
        <v>0</v>
      </c>
      <c r="C59">
        <f>VLOOKUP(CONCATENATE(ხელფასები!D58,ხელფასები!E58),map!$A$1:$P$120,4,FALSE)</f>
        <v>0</v>
      </c>
      <c r="D59">
        <f>VLOOKUP(CONCATENATE(ხელფასები!D58,ხელფასები!E58),map!$A$1:$P$102,5,FALSE)</f>
        <v>0</v>
      </c>
      <c r="E59">
        <f>VLOOKUP(CONCATENATE(ხელფასები!D58,ხელფასები!E58),map!$A$1:$P$102,6,FALSE)</f>
        <v>0</v>
      </c>
      <c r="F59">
        <f>VLOOKUP(CONCATENATE(ხელფასები!D58,ხელფასები!E58),map!$A$1:$P$102,7,FALSE)</f>
        <v>0</v>
      </c>
      <c r="G59">
        <f>VLOOKUP(CONCATENATE(ხელფასები!D58,ხელფასები!E58),map!$A$1:$P$102,8,FALSE)</f>
        <v>0</v>
      </c>
      <c r="H59">
        <f>IF(VLOOKUP(CONCATENATE(ხელფასები!D58,ხელფასები!E58),map!$A$1:$P$102,10,FALSE)="0",ხელფასები!F58/0.8,ხელფასები!F58/0.8/0.98)</f>
        <v>0</v>
      </c>
      <c r="I59" s="5">
        <f>IF(VLOOKUP(CONCATENATE(ხელფასები!D58,ხელფასები!E58),map!$A$1:$P$102,10,FALSE)="0","0",ხელფასები!F58/0.8/0.98*0.02)</f>
        <v>0</v>
      </c>
      <c r="J59" s="5">
        <v>0</v>
      </c>
      <c r="K59" s="4" t="str">
        <f>CONCATENATE(IF(LEN(DAY(ხელფასები!C58))&gt;1,DAY(ხელფასები!C58),CONCATENATE("0",DAY(ხელფასები!C58))),"/",MONTH(ხელფასები!C58),"/",YEAR(ხელფასები!C58))</f>
        <v>00/1/1900</v>
      </c>
      <c r="L59">
        <f>VLOOKUP(CONCATENATE(ხელფასები!D58,ხელფასები!E58),map!$A$1:$P$102,12,FALSE)</f>
        <v>0</v>
      </c>
      <c r="M59">
        <f>IF(VLOOKUP(CONCATENATE(ხელფასები!D58,ხელფასები!E58),map!$A$1:$P$102,10,FALSE)="0",ხელფასები!F58/0.8*0.2,(ხელფასები!F58/0.8/0.98-ხელფასები!F58/0.8/0.98*0.02)*0.2)</f>
        <v>0</v>
      </c>
      <c r="N59">
        <f>VLOOKUP(CONCATENATE(ხელფასები!D58,ხელფასები!E58),map!$A$1:$P$102,14,FALSE)</f>
        <v>0</v>
      </c>
      <c r="O59">
        <f>VLOOKUP(CONCATENATE(ხელფასები!D58,ხელფასები!E58),map!$A$1:$P$102,15,FALSE)</f>
        <v>0</v>
      </c>
      <c r="P59">
        <f>VLOOKUP(CONCATENATE(ხელფასები!D58,ხელფასები!E58),map!$A$1:$P$102,16,FALSE)</f>
        <v>0</v>
      </c>
    </row>
    <row r="60" spans="1:16">
      <c r="A60">
        <f>VLOOKUP(CONCATENATE(ხელფასები!D59,ხელფასები!E59),map!$A$1:$P$100,2,FALSE)</f>
        <v>0</v>
      </c>
      <c r="B60">
        <f>VLOOKUP(CONCATENATE(ხელფასები!D59,ხელფასები!E59),map!$A$1:$P$120,3,FALSE)</f>
        <v>0</v>
      </c>
      <c r="C60">
        <f>VLOOKUP(CONCATENATE(ხელფასები!D59,ხელფასები!E59),map!$A$1:$P$120,4,FALSE)</f>
        <v>0</v>
      </c>
      <c r="D60">
        <f>VLOOKUP(CONCATENATE(ხელფასები!D59,ხელფასები!E59),map!$A$1:$P$102,5,FALSE)</f>
        <v>0</v>
      </c>
      <c r="E60">
        <f>VLOOKUP(CONCATENATE(ხელფასები!D59,ხელფასები!E59),map!$A$1:$P$102,6,FALSE)</f>
        <v>0</v>
      </c>
      <c r="F60">
        <f>VLOOKUP(CONCATENATE(ხელფასები!D59,ხელფასები!E59),map!$A$1:$P$102,7,FALSE)</f>
        <v>0</v>
      </c>
      <c r="G60">
        <f>VLOOKUP(CONCATENATE(ხელფასები!D59,ხელფასები!E59),map!$A$1:$P$102,8,FALSE)</f>
        <v>0</v>
      </c>
      <c r="H60">
        <f>IF(VLOOKUP(CONCATENATE(ხელფასები!D59,ხელფასები!E59),map!$A$1:$P$102,10,FALSE)="0",ხელფასები!F59/0.8,ხელფასები!F59/0.8/0.98)</f>
        <v>0</v>
      </c>
      <c r="I60" s="5">
        <f>IF(VLOOKUP(CONCATENATE(ხელფასები!D59,ხელფასები!E59),map!$A$1:$P$102,10,FALSE)="0","0",ხელფასები!F59/0.8/0.98*0.02)</f>
        <v>0</v>
      </c>
      <c r="J60" s="5">
        <v>0</v>
      </c>
      <c r="K60" s="4" t="str">
        <f>CONCATENATE(IF(LEN(DAY(ხელფასები!C59))&gt;1,DAY(ხელფასები!C59),CONCATENATE("0",DAY(ხელფასები!C59))),"/",MONTH(ხელფასები!C59),"/",YEAR(ხელფასები!C59))</f>
        <v>00/1/1900</v>
      </c>
      <c r="L60">
        <f>VLOOKUP(CONCATENATE(ხელფასები!D59,ხელფასები!E59),map!$A$1:$P$102,12,FALSE)</f>
        <v>0</v>
      </c>
      <c r="M60">
        <f>IF(VLOOKUP(CONCATENATE(ხელფასები!D59,ხელფასები!E59),map!$A$1:$P$102,10,FALSE)="0",ხელფასები!F59/0.8*0.2,(ხელფასები!F59/0.8/0.98-ხელფასები!F59/0.8/0.98*0.02)*0.2)</f>
        <v>0</v>
      </c>
      <c r="N60">
        <f>VLOOKUP(CONCATENATE(ხელფასები!D59,ხელფასები!E59),map!$A$1:$P$102,14,FALSE)</f>
        <v>0</v>
      </c>
      <c r="O60">
        <f>VLOOKUP(CONCATENATE(ხელფასები!D59,ხელფასები!E59),map!$A$1:$P$102,15,FALSE)</f>
        <v>0</v>
      </c>
      <c r="P60">
        <f>VLOOKUP(CONCATENATE(ხელფასები!D59,ხელფასები!E59),map!$A$1:$P$102,16,FALSE)</f>
        <v>0</v>
      </c>
    </row>
    <row r="61" spans="1:16">
      <c r="A61">
        <f>VLOOKUP(CONCATENATE(ხელფასები!D60,ხელფასები!E60),map!$A$1:$P$100,2,FALSE)</f>
        <v>0</v>
      </c>
      <c r="B61">
        <f>VLOOKUP(CONCATENATE(ხელფასები!D60,ხელფასები!E60),map!$A$1:$P$120,3,FALSE)</f>
        <v>0</v>
      </c>
      <c r="C61">
        <f>VLOOKUP(CONCATENATE(ხელფასები!D60,ხელფასები!E60),map!$A$1:$P$120,4,FALSE)</f>
        <v>0</v>
      </c>
      <c r="D61">
        <f>VLOOKUP(CONCATENATE(ხელფასები!D60,ხელფასები!E60),map!$A$1:$P$102,5,FALSE)</f>
        <v>0</v>
      </c>
      <c r="E61">
        <f>VLOOKUP(CONCATENATE(ხელფასები!D60,ხელფასები!E60),map!$A$1:$P$102,6,FALSE)</f>
        <v>0</v>
      </c>
      <c r="F61">
        <f>VLOOKUP(CONCATENATE(ხელფასები!D60,ხელფასები!E60),map!$A$1:$P$102,7,FALSE)</f>
        <v>0</v>
      </c>
      <c r="G61">
        <f>VLOOKUP(CONCATENATE(ხელფასები!D60,ხელფასები!E60),map!$A$1:$P$102,8,FALSE)</f>
        <v>0</v>
      </c>
      <c r="H61">
        <f>IF(VLOOKUP(CONCATENATE(ხელფასები!D60,ხელფასები!E60),map!$A$1:$P$102,10,FALSE)="0",ხელფასები!F60/0.8,ხელფასები!F60/0.8/0.98)</f>
        <v>0</v>
      </c>
      <c r="I61" s="5">
        <f>IF(VLOOKUP(CONCATENATE(ხელფასები!D60,ხელფასები!E60),map!$A$1:$P$102,10,FALSE)="0","0",ხელფასები!F60/0.8/0.98*0.02)</f>
        <v>0</v>
      </c>
      <c r="J61" s="5">
        <v>0</v>
      </c>
      <c r="K61" s="4" t="str">
        <f>CONCATENATE(IF(LEN(DAY(ხელფასები!C60))&gt;1,DAY(ხელფასები!C60),CONCATENATE("0",DAY(ხელფასები!C60))),"/",MONTH(ხელფასები!C60),"/",YEAR(ხელფასები!C60))</f>
        <v>00/1/1900</v>
      </c>
      <c r="L61">
        <f>VLOOKUP(CONCATENATE(ხელფასები!D60,ხელფასები!E60),map!$A$1:$P$102,12,FALSE)</f>
        <v>0</v>
      </c>
      <c r="M61">
        <f>IF(VLOOKUP(CONCATENATE(ხელფასები!D60,ხელფასები!E60),map!$A$1:$P$102,10,FALSE)="0",ხელფასები!F60/0.8*0.2,(ხელფასები!F60/0.8/0.98-ხელფასები!F60/0.8/0.98*0.02)*0.2)</f>
        <v>0</v>
      </c>
      <c r="N61">
        <f>VLOOKUP(CONCATENATE(ხელფასები!D60,ხელფასები!E60),map!$A$1:$P$102,14,FALSE)</f>
        <v>0</v>
      </c>
      <c r="O61">
        <f>VLOOKUP(CONCATENATE(ხელფასები!D60,ხელფასები!E60),map!$A$1:$P$102,15,FALSE)</f>
        <v>0</v>
      </c>
      <c r="P61">
        <f>VLOOKUP(CONCATENATE(ხელფასები!D60,ხელფასები!E60),map!$A$1:$P$102,16,FALSE)</f>
        <v>0</v>
      </c>
    </row>
    <row r="62" spans="1:16">
      <c r="A62">
        <f>VLOOKUP(CONCATENATE(ხელფასები!D61,ხელფასები!E61),map!$A$1:$P$100,2,FALSE)</f>
        <v>0</v>
      </c>
      <c r="B62">
        <f>VLOOKUP(CONCATENATE(ხელფასები!D61,ხელფასები!E61),map!$A$1:$P$120,3,FALSE)</f>
        <v>0</v>
      </c>
      <c r="C62">
        <f>VLOOKUP(CONCATENATE(ხელფასები!D61,ხელფასები!E61),map!$A$1:$P$120,4,FALSE)</f>
        <v>0</v>
      </c>
      <c r="D62">
        <f>VLOOKUP(CONCATENATE(ხელფასები!D61,ხელფასები!E61),map!$A$1:$P$102,5,FALSE)</f>
        <v>0</v>
      </c>
      <c r="E62">
        <f>VLOOKUP(CONCATENATE(ხელფასები!D61,ხელფასები!E61),map!$A$1:$P$102,6,FALSE)</f>
        <v>0</v>
      </c>
      <c r="F62">
        <f>VLOOKUP(CONCATENATE(ხელფასები!D61,ხელფასები!E61),map!$A$1:$P$102,7,FALSE)</f>
        <v>0</v>
      </c>
      <c r="G62">
        <f>VLOOKUP(CONCATENATE(ხელფასები!D61,ხელფასები!E61),map!$A$1:$P$102,8,FALSE)</f>
        <v>0</v>
      </c>
      <c r="H62">
        <f>IF(VLOOKUP(CONCATENATE(ხელფასები!D61,ხელფასები!E61),map!$A$1:$P$102,10,FALSE)="0",ხელფასები!F61/0.8,ხელფასები!F61/0.8/0.98)</f>
        <v>0</v>
      </c>
      <c r="I62" s="5">
        <f>IF(VLOOKUP(CONCATENATE(ხელფასები!D61,ხელფასები!E61),map!$A$1:$P$102,10,FALSE)="0","0",ხელფასები!F61/0.8/0.98*0.02)</f>
        <v>0</v>
      </c>
      <c r="J62" s="5">
        <v>0</v>
      </c>
      <c r="K62" s="4" t="str">
        <f>CONCATENATE(IF(LEN(DAY(ხელფასები!C61))&gt;1,DAY(ხელფასები!C61),CONCATENATE("0",DAY(ხელფასები!C61))),"/",MONTH(ხელფასები!C61),"/",YEAR(ხელფასები!C61))</f>
        <v>00/1/1900</v>
      </c>
      <c r="L62">
        <f>VLOOKUP(CONCATENATE(ხელფასები!D61,ხელფასები!E61),map!$A$1:$P$102,12,FALSE)</f>
        <v>0</v>
      </c>
      <c r="M62">
        <f>IF(VLOOKUP(CONCATENATE(ხელფასები!D61,ხელფასები!E61),map!$A$1:$P$102,10,FALSE)="0",ხელფასები!F61/0.8*0.2,(ხელფასები!F61/0.8/0.98-ხელფასები!F61/0.8/0.98*0.02)*0.2)</f>
        <v>0</v>
      </c>
      <c r="N62">
        <f>VLOOKUP(CONCATENATE(ხელფასები!D61,ხელფასები!E61),map!$A$1:$P$102,14,FALSE)</f>
        <v>0</v>
      </c>
      <c r="O62">
        <f>VLOOKUP(CONCATENATE(ხელფასები!D61,ხელფასები!E61),map!$A$1:$P$102,15,FALSE)</f>
        <v>0</v>
      </c>
      <c r="P62">
        <f>VLOOKUP(CONCATENATE(ხელფასები!D61,ხელფასები!E61),map!$A$1:$P$102,16,FALSE)</f>
        <v>0</v>
      </c>
    </row>
    <row r="63" spans="1:16">
      <c r="A63">
        <f>VLOOKUP(CONCATENATE(ხელფასები!D62,ხელფასები!E62),map!$A$1:$P$100,2,FALSE)</f>
        <v>0</v>
      </c>
      <c r="B63">
        <f>VLOOKUP(CONCATENATE(ხელფასები!D62,ხელფასები!E62),map!$A$1:$P$120,3,FALSE)</f>
        <v>0</v>
      </c>
      <c r="C63">
        <f>VLOOKUP(CONCATENATE(ხელფასები!D62,ხელფასები!E62),map!$A$1:$P$120,4,FALSE)</f>
        <v>0</v>
      </c>
      <c r="D63">
        <f>VLOOKUP(CONCATENATE(ხელფასები!D62,ხელფასები!E62),map!$A$1:$P$102,5,FALSE)</f>
        <v>0</v>
      </c>
      <c r="E63">
        <f>VLOOKUP(CONCATENATE(ხელფასები!D62,ხელფასები!E62),map!$A$1:$P$102,6,FALSE)</f>
        <v>0</v>
      </c>
      <c r="F63">
        <f>VLOOKUP(CONCATENATE(ხელფასები!D62,ხელფასები!E62),map!$A$1:$P$102,7,FALSE)</f>
        <v>0</v>
      </c>
      <c r="G63">
        <f>VLOOKUP(CONCATENATE(ხელფასები!D62,ხელფასები!E62),map!$A$1:$P$102,8,FALSE)</f>
        <v>0</v>
      </c>
      <c r="H63">
        <f>IF(VLOOKUP(CONCATENATE(ხელფასები!D62,ხელფასები!E62),map!$A$1:$P$102,10,FALSE)="0",ხელფასები!F62/0.8,ხელფასები!F62/0.8/0.98)</f>
        <v>0</v>
      </c>
      <c r="I63" s="5">
        <f>IF(VLOOKUP(CONCATENATE(ხელფასები!D62,ხელფასები!E62),map!$A$1:$P$102,10,FALSE)="0","0",ხელფასები!F62/0.8/0.98*0.02)</f>
        <v>0</v>
      </c>
      <c r="J63" s="5">
        <v>0</v>
      </c>
      <c r="K63" s="4" t="str">
        <f>CONCATENATE(IF(LEN(DAY(ხელფასები!C62))&gt;1,DAY(ხელფასები!C62),CONCATENATE("0",DAY(ხელფასები!C62))),"/",MONTH(ხელფასები!C62),"/",YEAR(ხელფასები!C62))</f>
        <v>00/1/1900</v>
      </c>
      <c r="L63">
        <f>VLOOKUP(CONCATENATE(ხელფასები!D62,ხელფასები!E62),map!$A$1:$P$102,12,FALSE)</f>
        <v>0</v>
      </c>
      <c r="M63">
        <f>IF(VLOOKUP(CONCATENATE(ხელფასები!D62,ხელფასები!E62),map!$A$1:$P$102,10,FALSE)="0",ხელფასები!F62/0.8*0.2,(ხელფასები!F62/0.8/0.98-ხელფასები!F62/0.8/0.98*0.02)*0.2)</f>
        <v>0</v>
      </c>
      <c r="N63">
        <f>VLOOKUP(CONCATENATE(ხელფასები!D62,ხელფასები!E62),map!$A$1:$P$102,14,FALSE)</f>
        <v>0</v>
      </c>
      <c r="O63">
        <f>VLOOKUP(CONCATENATE(ხელფასები!D62,ხელფასები!E62),map!$A$1:$P$102,15,FALSE)</f>
        <v>0</v>
      </c>
      <c r="P63">
        <f>VLOOKUP(CONCATENATE(ხელფასები!D62,ხელფასები!E62),map!$A$1:$P$102,16,FALSE)</f>
        <v>0</v>
      </c>
    </row>
    <row r="64" spans="1:16">
      <c r="A64">
        <f>VLOOKUP(CONCATENATE(ხელფასები!D63,ხელფასები!E63),map!$A$1:$P$100,2,FALSE)</f>
        <v>0</v>
      </c>
      <c r="B64">
        <f>VLOOKUP(CONCATENATE(ხელფასები!D63,ხელფასები!E63),map!$A$1:$P$120,3,FALSE)</f>
        <v>0</v>
      </c>
      <c r="C64">
        <f>VLOOKUP(CONCATENATE(ხელფასები!D63,ხელფასები!E63),map!$A$1:$P$120,4,FALSE)</f>
        <v>0</v>
      </c>
      <c r="D64">
        <f>VLOOKUP(CONCATENATE(ხელფასები!D63,ხელფასები!E63),map!$A$1:$P$102,5,FALSE)</f>
        <v>0</v>
      </c>
      <c r="E64">
        <f>VLOOKUP(CONCATENATE(ხელფასები!D63,ხელფასები!E63),map!$A$1:$P$102,6,FALSE)</f>
        <v>0</v>
      </c>
      <c r="F64">
        <f>VLOOKUP(CONCATENATE(ხელფასები!D63,ხელფასები!E63),map!$A$1:$P$102,7,FALSE)</f>
        <v>0</v>
      </c>
      <c r="G64">
        <f>VLOOKUP(CONCATENATE(ხელფასები!D63,ხელფასები!E63),map!$A$1:$P$102,8,FALSE)</f>
        <v>0</v>
      </c>
      <c r="H64">
        <f>IF(VLOOKUP(CONCATENATE(ხელფასები!D63,ხელფასები!E63),map!$A$1:$P$102,10,FALSE)="0",ხელფასები!F63/0.8,ხელფასები!F63/0.8/0.98)</f>
        <v>0</v>
      </c>
      <c r="I64" s="5">
        <f>IF(VLOOKUP(CONCATENATE(ხელფასები!D63,ხელფასები!E63),map!$A$1:$P$102,10,FALSE)="0","0",ხელფასები!F63/0.8/0.98*0.02)</f>
        <v>0</v>
      </c>
      <c r="J64" s="5">
        <v>0</v>
      </c>
      <c r="K64" s="4" t="str">
        <f>CONCATENATE(IF(LEN(DAY(ხელფასები!C63))&gt;1,DAY(ხელფასები!C63),CONCATENATE("0",DAY(ხელფასები!C63))),"/",MONTH(ხელფასები!C63),"/",YEAR(ხელფასები!C63))</f>
        <v>00/1/1900</v>
      </c>
      <c r="L64">
        <f>VLOOKUP(CONCATENATE(ხელფასები!D63,ხელფასები!E63),map!$A$1:$P$102,12,FALSE)</f>
        <v>0</v>
      </c>
      <c r="M64">
        <f>IF(VLOOKUP(CONCATENATE(ხელფასები!D63,ხელფასები!E63),map!$A$1:$P$102,10,FALSE)="0",ხელფასები!F63/0.8*0.2,(ხელფასები!F63/0.8/0.98-ხელფასები!F63/0.8/0.98*0.02)*0.2)</f>
        <v>0</v>
      </c>
      <c r="N64">
        <f>VLOOKUP(CONCATENATE(ხელფასები!D63,ხელფასები!E63),map!$A$1:$P$102,14,FALSE)</f>
        <v>0</v>
      </c>
      <c r="O64">
        <f>VLOOKUP(CONCATENATE(ხელფასები!D63,ხელფასები!E63),map!$A$1:$P$102,15,FALSE)</f>
        <v>0</v>
      </c>
      <c r="P64">
        <f>VLOOKUP(CONCATENATE(ხელფასები!D63,ხელფასები!E63),map!$A$1:$P$102,16,FALSE)</f>
        <v>0</v>
      </c>
    </row>
    <row r="65" spans="1:16">
      <c r="A65">
        <f>VLOOKUP(CONCATENATE(ხელფასები!D64,ხელფასები!E64),map!$A$1:$P$100,2,FALSE)</f>
        <v>0</v>
      </c>
      <c r="B65">
        <f>VLOOKUP(CONCATENATE(ხელფასები!D64,ხელფასები!E64),map!$A$1:$P$120,3,FALSE)</f>
        <v>0</v>
      </c>
      <c r="C65">
        <f>VLOOKUP(CONCATENATE(ხელფასები!D64,ხელფასები!E64),map!$A$1:$P$120,4,FALSE)</f>
        <v>0</v>
      </c>
      <c r="D65">
        <f>VLOOKUP(CONCATENATE(ხელფასები!D64,ხელფასები!E64),map!$A$1:$P$102,5,FALSE)</f>
        <v>0</v>
      </c>
      <c r="E65">
        <f>VLOOKUP(CONCATENATE(ხელფასები!D64,ხელფასები!E64),map!$A$1:$P$102,6,FALSE)</f>
        <v>0</v>
      </c>
      <c r="F65">
        <f>VLOOKUP(CONCATENATE(ხელფასები!D64,ხელფასები!E64),map!$A$1:$P$102,7,FALSE)</f>
        <v>0</v>
      </c>
      <c r="G65">
        <f>VLOOKUP(CONCATENATE(ხელფასები!D64,ხელფასები!E64),map!$A$1:$P$102,8,FALSE)</f>
        <v>0</v>
      </c>
      <c r="H65">
        <f>IF(VLOOKUP(CONCATENATE(ხელფასები!D64,ხელფასები!E64),map!$A$1:$P$102,10,FALSE)="0",ხელფასები!F64/0.8,ხელფასები!F64/0.8/0.98)</f>
        <v>0</v>
      </c>
      <c r="I65" s="5">
        <f>IF(VLOOKUP(CONCATENATE(ხელფასები!D64,ხელფასები!E64),map!$A$1:$P$102,10,FALSE)="0","0",ხელფასები!F64/0.8/0.98*0.02)</f>
        <v>0</v>
      </c>
      <c r="J65" s="5">
        <v>0</v>
      </c>
      <c r="K65" s="4" t="str">
        <f>CONCATENATE(IF(LEN(DAY(ხელფასები!C64))&gt;1,DAY(ხელფასები!C64),CONCATENATE("0",DAY(ხელფასები!C64))),"/",MONTH(ხელფასები!C64),"/",YEAR(ხელფასები!C64))</f>
        <v>00/1/1900</v>
      </c>
      <c r="L65">
        <f>VLOOKUP(CONCATENATE(ხელფასები!D64,ხელფასები!E64),map!$A$1:$P$102,12,FALSE)</f>
        <v>0</v>
      </c>
      <c r="M65">
        <f>IF(VLOOKUP(CONCATENATE(ხელფასები!D64,ხელფასები!E64),map!$A$1:$P$102,10,FALSE)="0",ხელფასები!F64/0.8*0.2,(ხელფასები!F64/0.8/0.98-ხელფასები!F64/0.8/0.98*0.02)*0.2)</f>
        <v>0</v>
      </c>
      <c r="N65">
        <f>VLOOKUP(CONCATENATE(ხელფასები!D64,ხელფასები!E64),map!$A$1:$P$102,14,FALSE)</f>
        <v>0</v>
      </c>
      <c r="O65">
        <f>VLOOKUP(CONCATENATE(ხელფასები!D64,ხელფასები!E64),map!$A$1:$P$102,15,FALSE)</f>
        <v>0</v>
      </c>
      <c r="P65">
        <f>VLOOKUP(CONCATENATE(ხელფასები!D64,ხელფასები!E64),map!$A$1:$P$102,16,FALSE)</f>
        <v>0</v>
      </c>
    </row>
    <row r="66" spans="1:16">
      <c r="A66">
        <f>VLOOKUP(CONCATENATE(ხელფასები!D65,ხელფასები!E65),map!$A$1:$P$100,2,FALSE)</f>
        <v>0</v>
      </c>
      <c r="B66">
        <f>VLOOKUP(CONCATENATE(ხელფასები!D65,ხელფასები!E65),map!$A$1:$P$120,3,FALSE)</f>
        <v>0</v>
      </c>
      <c r="C66">
        <f>VLOOKUP(CONCATENATE(ხელფასები!D65,ხელფასები!E65),map!$A$1:$P$120,4,FALSE)</f>
        <v>0</v>
      </c>
      <c r="D66">
        <f>VLOOKUP(CONCATENATE(ხელფასები!D65,ხელფასები!E65),map!$A$1:$P$102,5,FALSE)</f>
        <v>0</v>
      </c>
      <c r="E66">
        <f>VLOOKUP(CONCATENATE(ხელფასები!D65,ხელფასები!E65),map!$A$1:$P$102,6,FALSE)</f>
        <v>0</v>
      </c>
      <c r="F66">
        <f>VLOOKUP(CONCATENATE(ხელფასები!D65,ხელფასები!E65),map!$A$1:$P$102,7,FALSE)</f>
        <v>0</v>
      </c>
      <c r="G66">
        <f>VLOOKUP(CONCATENATE(ხელფასები!D65,ხელფასები!E65),map!$A$1:$P$102,8,FALSE)</f>
        <v>0</v>
      </c>
      <c r="H66">
        <f>IF(VLOOKUP(CONCATENATE(ხელფასები!D65,ხელფასები!E65),map!$A$1:$P$102,10,FALSE)="0",ხელფასები!F65/0.8,ხელფასები!F65/0.8/0.98)</f>
        <v>0</v>
      </c>
      <c r="I66" s="5">
        <f>IF(VLOOKUP(CONCATENATE(ხელფასები!D65,ხელფასები!E65),map!$A$1:$P$102,10,FALSE)="0","0",ხელფასები!F65/0.8/0.98*0.02)</f>
        <v>0</v>
      </c>
      <c r="J66" s="5">
        <v>0</v>
      </c>
      <c r="K66" s="4" t="str">
        <f>CONCATENATE(IF(LEN(DAY(ხელფასები!C65))&gt;1,DAY(ხელფასები!C65),CONCATENATE("0",DAY(ხელფასები!C65))),"/",MONTH(ხელფასები!C65),"/",YEAR(ხელფასები!C65))</f>
        <v>00/1/1900</v>
      </c>
      <c r="L66">
        <f>VLOOKUP(CONCATENATE(ხელფასები!D65,ხელფასები!E65),map!$A$1:$P$102,12,FALSE)</f>
        <v>0</v>
      </c>
      <c r="M66">
        <f>IF(VLOOKUP(CONCATENATE(ხელფასები!D65,ხელფასები!E65),map!$A$1:$P$102,10,FALSE)="0",ხელფასები!F65/0.8*0.2,(ხელფასები!F65/0.8/0.98-ხელფასები!F65/0.8/0.98*0.02)*0.2)</f>
        <v>0</v>
      </c>
      <c r="N66">
        <f>VLOOKUP(CONCATENATE(ხელფასები!D65,ხელფასები!E65),map!$A$1:$P$102,14,FALSE)</f>
        <v>0</v>
      </c>
      <c r="O66">
        <f>VLOOKUP(CONCATENATE(ხელფასები!D65,ხელფასები!E65),map!$A$1:$P$102,15,FALSE)</f>
        <v>0</v>
      </c>
      <c r="P66">
        <f>VLOOKUP(CONCATENATE(ხელფასები!D65,ხელფასები!E65),map!$A$1:$P$102,16,FALSE)</f>
        <v>0</v>
      </c>
    </row>
    <row r="67" spans="1:16">
      <c r="A67">
        <f>VLOOKUP(CONCATENATE(ხელფასები!D66,ხელფასები!E66),map!$A$1:$P$100,2,FALSE)</f>
        <v>0</v>
      </c>
      <c r="B67">
        <f>VLOOKUP(CONCATENATE(ხელფასები!D66,ხელფასები!E66),map!$A$1:$P$120,3,FALSE)</f>
        <v>0</v>
      </c>
      <c r="C67">
        <f>VLOOKUP(CONCATENATE(ხელფასები!D66,ხელფასები!E66),map!$A$1:$P$120,4,FALSE)</f>
        <v>0</v>
      </c>
      <c r="D67">
        <f>VLOOKUP(CONCATENATE(ხელფასები!D66,ხელფასები!E66),map!$A$1:$P$102,5,FALSE)</f>
        <v>0</v>
      </c>
      <c r="E67">
        <f>VLOOKUP(CONCATENATE(ხელფასები!D66,ხელფასები!E66),map!$A$1:$P$102,6,FALSE)</f>
        <v>0</v>
      </c>
      <c r="F67">
        <f>VLOOKUP(CONCATENATE(ხელფასები!D66,ხელფასები!E66),map!$A$1:$P$102,7,FALSE)</f>
        <v>0</v>
      </c>
      <c r="G67">
        <f>VLOOKUP(CONCATENATE(ხელფასები!D66,ხელფასები!E66),map!$A$1:$P$102,8,FALSE)</f>
        <v>0</v>
      </c>
      <c r="H67">
        <f>IF(VLOOKUP(CONCATENATE(ხელფასები!D66,ხელფასები!E66),map!$A$1:$P$102,10,FALSE)="0",ხელფასები!F66/0.8,ხელფასები!F66/0.8/0.98)</f>
        <v>0</v>
      </c>
      <c r="I67" s="5">
        <f>IF(VLOOKUP(CONCATENATE(ხელფასები!D66,ხელფასები!E66),map!$A$1:$P$102,10,FALSE)="0","0",ხელფასები!F66/0.8/0.98*0.02)</f>
        <v>0</v>
      </c>
      <c r="J67" s="5">
        <v>0</v>
      </c>
      <c r="K67" s="4" t="str">
        <f>CONCATENATE(IF(LEN(DAY(ხელფასები!C66))&gt;1,DAY(ხელფასები!C66),CONCATENATE("0",DAY(ხელფასები!C66))),"/",MONTH(ხელფასები!C66),"/",YEAR(ხელფასები!C66))</f>
        <v>00/1/1900</v>
      </c>
      <c r="L67">
        <f>VLOOKUP(CONCATENATE(ხელფასები!D66,ხელფასები!E66),map!$A$1:$P$102,12,FALSE)</f>
        <v>0</v>
      </c>
      <c r="M67">
        <f>IF(VLOOKUP(CONCATENATE(ხელფასები!D66,ხელფასები!E66),map!$A$1:$P$102,10,FALSE)="0",ხელფასები!F66/0.8*0.2,(ხელფასები!F66/0.8/0.98-ხელფასები!F66/0.8/0.98*0.02)*0.2)</f>
        <v>0</v>
      </c>
      <c r="N67">
        <f>VLOOKUP(CONCATENATE(ხელფასები!D66,ხელფასები!E66),map!$A$1:$P$102,14,FALSE)</f>
        <v>0</v>
      </c>
      <c r="O67">
        <f>VLOOKUP(CONCATENATE(ხელფასები!D66,ხელფასები!E66),map!$A$1:$P$102,15,FALSE)</f>
        <v>0</v>
      </c>
      <c r="P67">
        <f>VLOOKUP(CONCATENATE(ხელფასები!D66,ხელფასები!E66),map!$A$1:$P$102,16,FALSE)</f>
        <v>0</v>
      </c>
    </row>
    <row r="68" spans="1:16">
      <c r="A68">
        <f>VLOOKUP(CONCATENATE(ხელფასები!D67,ხელფასები!E67),map!$A$1:$P$100,2,FALSE)</f>
        <v>0</v>
      </c>
      <c r="B68">
        <f>VLOOKUP(CONCATENATE(ხელფასები!D67,ხელფასები!E67),map!$A$1:$P$120,3,FALSE)</f>
        <v>0</v>
      </c>
      <c r="C68">
        <f>VLOOKUP(CONCATENATE(ხელფასები!D67,ხელფასები!E67),map!$A$1:$P$120,4,FALSE)</f>
        <v>0</v>
      </c>
      <c r="D68">
        <f>VLOOKUP(CONCATENATE(ხელფასები!D67,ხელფასები!E67),map!$A$1:$P$102,5,FALSE)</f>
        <v>0</v>
      </c>
      <c r="E68">
        <f>VLOOKUP(CONCATENATE(ხელფასები!D67,ხელფასები!E67),map!$A$1:$P$102,6,FALSE)</f>
        <v>0</v>
      </c>
      <c r="F68">
        <f>VLOOKUP(CONCATENATE(ხელფასები!D67,ხელფასები!E67),map!$A$1:$P$102,7,FALSE)</f>
        <v>0</v>
      </c>
      <c r="G68">
        <f>VLOOKUP(CONCATENATE(ხელფასები!D67,ხელფასები!E67),map!$A$1:$P$102,8,FALSE)</f>
        <v>0</v>
      </c>
      <c r="H68">
        <f>IF(VLOOKUP(CONCATENATE(ხელფასები!D67,ხელფასები!E67),map!$A$1:$P$102,10,FALSE)="0",ხელფასები!F67/0.8,ხელფასები!F67/0.8/0.98)</f>
        <v>0</v>
      </c>
      <c r="I68" s="5">
        <f>IF(VLOOKUP(CONCATENATE(ხელფასები!D67,ხელფასები!E67),map!$A$1:$P$102,10,FALSE)="0","0",ხელფასები!F67/0.8/0.98*0.02)</f>
        <v>0</v>
      </c>
      <c r="J68" s="5">
        <v>0</v>
      </c>
      <c r="K68" s="4" t="str">
        <f>CONCATENATE(IF(LEN(DAY(ხელფასები!C67))&gt;1,DAY(ხელფასები!C67),CONCATENATE("0",DAY(ხელფასები!C67))),"/",MONTH(ხელფასები!C67),"/",YEAR(ხელფასები!C67))</f>
        <v>00/1/1900</v>
      </c>
      <c r="L68">
        <f>VLOOKUP(CONCATENATE(ხელფასები!D67,ხელფასები!E67),map!$A$1:$P$102,12,FALSE)</f>
        <v>0</v>
      </c>
      <c r="M68">
        <f>IF(VLOOKUP(CONCATENATE(ხელფასები!D67,ხელფასები!E67),map!$A$1:$P$102,10,FALSE)="0",ხელფასები!F67/0.8*0.2,(ხელფასები!F67/0.8/0.98-ხელფასები!F67/0.8/0.98*0.02)*0.2)</f>
        <v>0</v>
      </c>
      <c r="N68">
        <f>VLOOKUP(CONCATENATE(ხელფასები!D67,ხელფასები!E67),map!$A$1:$P$102,14,FALSE)</f>
        <v>0</v>
      </c>
      <c r="O68">
        <f>VLOOKUP(CONCATENATE(ხელფასები!D67,ხელფასები!E67),map!$A$1:$P$102,15,FALSE)</f>
        <v>0</v>
      </c>
      <c r="P68">
        <f>VLOOKUP(CONCATENATE(ხელფასები!D67,ხელფასები!E67),map!$A$1:$P$102,16,FALSE)</f>
        <v>0</v>
      </c>
    </row>
    <row r="69" spans="1:16">
      <c r="A69">
        <f>VLOOKUP(CONCATENATE(ხელფასები!D68,ხელფასები!E68),map!$A$1:$P$100,2,FALSE)</f>
        <v>0</v>
      </c>
      <c r="B69">
        <f>VLOOKUP(CONCATENATE(ხელფასები!D68,ხელფასები!E68),map!$A$1:$P$120,3,FALSE)</f>
        <v>0</v>
      </c>
      <c r="C69">
        <f>VLOOKUP(CONCATENATE(ხელფასები!D68,ხელფასები!E68),map!$A$1:$P$120,4,FALSE)</f>
        <v>0</v>
      </c>
      <c r="D69">
        <f>VLOOKUP(CONCATENATE(ხელფასები!D68,ხელფასები!E68),map!$A$1:$P$102,5,FALSE)</f>
        <v>0</v>
      </c>
      <c r="E69">
        <f>VLOOKUP(CONCATENATE(ხელფასები!D68,ხელფასები!E68),map!$A$1:$P$102,6,FALSE)</f>
        <v>0</v>
      </c>
      <c r="F69">
        <f>VLOOKUP(CONCATENATE(ხელფასები!D68,ხელფასები!E68),map!$A$1:$P$102,7,FALSE)</f>
        <v>0</v>
      </c>
      <c r="G69">
        <f>VLOOKUP(CONCATENATE(ხელფასები!D68,ხელფასები!E68),map!$A$1:$P$102,8,FALSE)</f>
        <v>0</v>
      </c>
      <c r="H69">
        <f>IF(VLOOKUP(CONCATENATE(ხელფასები!D68,ხელფასები!E68),map!$A$1:$P$102,10,FALSE)="0",ხელფასები!F68/0.8,ხელფასები!F68/0.8/0.98)</f>
        <v>0</v>
      </c>
      <c r="I69" s="5">
        <f>IF(VLOOKUP(CONCATENATE(ხელფასები!D68,ხელფასები!E68),map!$A$1:$P$102,10,FALSE)="0","0",ხელფასები!F68/0.8/0.98*0.02)</f>
        <v>0</v>
      </c>
      <c r="J69" s="5">
        <v>0</v>
      </c>
      <c r="K69" s="4" t="str">
        <f>CONCATENATE(IF(LEN(DAY(ხელფასები!C68))&gt;1,DAY(ხელფასები!C68),CONCATENATE("0",DAY(ხელფასები!C68))),"/",MONTH(ხელფასები!C68),"/",YEAR(ხელფასები!C68))</f>
        <v>00/1/1900</v>
      </c>
      <c r="L69">
        <f>VLOOKUP(CONCATENATE(ხელფასები!D68,ხელფასები!E68),map!$A$1:$P$102,12,FALSE)</f>
        <v>0</v>
      </c>
      <c r="M69">
        <f>IF(VLOOKUP(CONCATENATE(ხელფასები!D68,ხელფასები!E68),map!$A$1:$P$102,10,FALSE)="0",ხელფასები!F68/0.8*0.2,(ხელფასები!F68/0.8/0.98-ხელფასები!F68/0.8/0.98*0.02)*0.2)</f>
        <v>0</v>
      </c>
      <c r="N69">
        <f>VLOOKUP(CONCATENATE(ხელფასები!D68,ხელფასები!E68),map!$A$1:$P$102,14,FALSE)</f>
        <v>0</v>
      </c>
      <c r="O69">
        <f>VLOOKUP(CONCATENATE(ხელფასები!D68,ხელფასები!E68),map!$A$1:$P$102,15,FALSE)</f>
        <v>0</v>
      </c>
      <c r="P69">
        <f>VLOOKUP(CONCATENATE(ხელფასები!D68,ხელფასები!E68),map!$A$1:$P$102,16,FALSE)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>
      <selection activeCell="A5" sqref="A5"/>
    </sheetView>
  </sheetViews>
  <sheetFormatPr defaultRowHeight="14.4"/>
  <sheetData>
    <row r="1" spans="1:1">
      <c r="A1" t="s">
        <v>38</v>
      </c>
    </row>
    <row r="2" spans="1:1">
      <c r="A2" t="s">
        <v>29</v>
      </c>
    </row>
    <row r="3" spans="1:1">
      <c r="A3" t="s">
        <v>25</v>
      </c>
    </row>
    <row r="4" spans="1:1">
      <c r="A4" t="s">
        <v>48</v>
      </c>
    </row>
    <row r="5" spans="1:1">
      <c r="A5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sqref="A1:E8"/>
    </sheetView>
  </sheetViews>
  <sheetFormatPr defaultRowHeight="14.4"/>
  <cols>
    <col min="3" max="4" width="12" bestFit="1" customWidth="1"/>
  </cols>
  <sheetData>
    <row r="1" spans="1:5">
      <c r="A1" t="str">
        <f>VLOOKUP('უნიკალური პ.ნ.'!A1,map!$B$1:$P$107,2,FALSE)</f>
        <v>დიანა</v>
      </c>
      <c r="B1" t="str">
        <f>VLOOKUP('უნიკალური პ.ნ.'!A1,map!$B$1:$P$105,3,FALSE)</f>
        <v>ლეჟავა</v>
      </c>
      <c r="C1" t="str">
        <f>'უნიკალური პ.ნ.'!A1</f>
        <v>01009017149</v>
      </c>
      <c r="D1">
        <f>SUMIF('გადასატანი ცხრილი'!$A$1:$A$205,'უნიკალური პ.ნ.'!A1,'გადასატანი ცხრილი'!$H$1:$H$205)</f>
        <v>0</v>
      </c>
      <c r="E1">
        <f>SUMIF('გადასატანი ცხრილი'!$A$1:$A$205,'უნიკალური პ.ნ.'!A1,'გადასატანი ცხრილი'!$I$1:$I$205)*2</f>
        <v>0</v>
      </c>
    </row>
    <row r="2" spans="1:5">
      <c r="A2" t="str">
        <f>VLOOKUP('უნიკალური პ.ნ.'!A2,map!$B$1:$P$107,2,FALSE)</f>
        <v>ალექსანდრე</v>
      </c>
      <c r="B2" t="str">
        <f>VLOOKUP('უნიკალური პ.ნ.'!A2,map!$B$1:$P$105,3,FALSE)</f>
        <v>კილასონია</v>
      </c>
      <c r="C2" t="str">
        <f>'უნიკალური პ.ნ.'!A2</f>
        <v>01008013563</v>
      </c>
      <c r="D2">
        <f>SUMIF('გადასატანი ცხრილი'!$A$1:$A$205,'უნიკალური პ.ნ.'!A2,'გადასატანი ცხრილი'!$H$1:$H$205)</f>
        <v>0</v>
      </c>
      <c r="E2">
        <f>SUMIF('გადასატანი ცხრილი'!$A$1:$A$205,'უნიკალური პ.ნ.'!A2,'გადასატანი ცხრილი'!$I$1:$I$205)*2</f>
        <v>0</v>
      </c>
    </row>
    <row r="3" spans="1:5">
      <c r="A3" t="str">
        <f>VLOOKUP('უნიკალური პ.ნ.'!A3,map!$B$1:$P$107,2,FALSE)</f>
        <v>ნანა</v>
      </c>
      <c r="B3" t="str">
        <f>VLOOKUP('უნიკალური პ.ნ.'!A3,map!$B$1:$P$105,3,FALSE)</f>
        <v>კურცხალია</v>
      </c>
      <c r="C3" t="str">
        <f>'უნიკალური პ.ნ.'!A3</f>
        <v>01003003707</v>
      </c>
      <c r="D3">
        <f>SUMIF('გადასატანი ცხრილი'!$A$1:$A$205,'უნიკალური პ.ნ.'!A3,'გადასატანი ცხრილი'!$H$1:$H$205)</f>
        <v>1530.6122448979593</v>
      </c>
      <c r="E3">
        <f>SUMIF('გადასატანი ცხრილი'!$A$1:$A$205,'უნიკალური პ.ნ.'!A3,'გადასატანი ცხრილი'!$I$1:$I$205)*2</f>
        <v>61.224489795918373</v>
      </c>
    </row>
    <row r="4" spans="1:5">
      <c r="A4" t="str">
        <f>VLOOKUP('უნიკალური პ.ნ.'!A4,map!$B$1:$P$107,2,FALSE)</f>
        <v>თამარი</v>
      </c>
      <c r="B4" t="str">
        <f>VLOOKUP('უნიკალური პ.ნ.'!A4,map!$B$1:$P$105,3,FALSE)</f>
        <v>ადამია</v>
      </c>
      <c r="C4" t="str">
        <f>'უნიკალური პ.ნ.'!A4</f>
        <v>01017044991</v>
      </c>
      <c r="D4">
        <f>SUMIF('გადასატანი ცხრილი'!$A$1:$A$205,'უნიკალური პ.ნ.'!A4,'გადასატანი ცხრილი'!$H$1:$H$205)</f>
        <v>0</v>
      </c>
      <c r="E4">
        <f>SUMIF('გადასატანი ცხრილი'!$A$1:$A$205,'უნიკალური პ.ნ.'!A4,'გადასატანი ცხრილი'!$I$1:$I$205)*2</f>
        <v>0</v>
      </c>
    </row>
    <row r="5" spans="1:5">
      <c r="A5" t="e">
        <f>VLOOKUP('უნიკალური პ.ნ.'!A6,map!$B$1:$P$107,2,FALSE)</f>
        <v>#N/A</v>
      </c>
      <c r="B5" t="e">
        <f>VLOOKUP('უნიკალური პ.ნ.'!A6,map!$B$1:$P$105,3,FALSE)</f>
        <v>#N/A</v>
      </c>
      <c r="C5">
        <f>'უნიკალური პ.ნ.'!A6</f>
        <v>0</v>
      </c>
      <c r="D5">
        <f>SUMIF('გადასატანი ცხრილი'!$A$1:$A$205,'უნიკალური პ.ნ.'!A6,'გადასატანი ცხრილი'!$H$1:$H$205)</f>
        <v>0</v>
      </c>
      <c r="E5">
        <f>SUMIF('გადასატანი ცხრილი'!$A$1:$A$205,'უნიკალური პ.ნ.'!A6,'გადასატანი ცხრილი'!$I$1:$I$205)*2</f>
        <v>0</v>
      </c>
    </row>
    <row r="6" spans="1:5">
      <c r="A6" t="e">
        <f>VLOOKUP('უნიკალური პ.ნ.'!A7,map!$B$1:$P$107,2,FALSE)</f>
        <v>#N/A</v>
      </c>
      <c r="B6" t="e">
        <f>VLOOKUP('უნიკალური პ.ნ.'!A7,map!$B$1:$P$105,3,FALSE)</f>
        <v>#N/A</v>
      </c>
      <c r="C6">
        <f>'უნიკალური პ.ნ.'!A7</f>
        <v>0</v>
      </c>
      <c r="D6">
        <f>SUMIF('გადასატანი ცხრილი'!$A$1:$A$205,'უნიკალური პ.ნ.'!A7,'გადასატანი ცხრილი'!$H$1:$H$205)</f>
        <v>0</v>
      </c>
      <c r="E6">
        <f>SUMIF('გადასატანი ცხრილი'!$A$1:$A$205,'უნიკალური პ.ნ.'!A7,'გადასატანი ცხრილი'!$I$1:$I$205)*2</f>
        <v>0</v>
      </c>
    </row>
    <row r="7" spans="1:5">
      <c r="A7" t="e">
        <f>VLOOKUP('უნიკალური პ.ნ.'!A8,map!$B$1:$P$107,2,FALSE)</f>
        <v>#N/A</v>
      </c>
      <c r="B7" t="e">
        <f>VLOOKUP('უნიკალური პ.ნ.'!A8,map!$B$1:$P$105,3,FALSE)</f>
        <v>#N/A</v>
      </c>
      <c r="C7">
        <f>'უნიკალური პ.ნ.'!A8</f>
        <v>0</v>
      </c>
      <c r="D7">
        <f>SUMIF('გადასატანი ცხრილი'!$A$1:$A$205,'უნიკალური პ.ნ.'!A8,'გადასატანი ცხრილი'!$H$1:$H$205)</f>
        <v>0</v>
      </c>
      <c r="E7">
        <f>SUMIF('გადასატანი ცხრილი'!$A$1:$A$205,'უნიკალური პ.ნ.'!A8,'გადასატანი ცხრილი'!$I$1:$I$205)*2</f>
        <v>0</v>
      </c>
    </row>
    <row r="8" spans="1:5">
      <c r="A8" t="e">
        <f>VLOOKUP('უნიკალური პ.ნ.'!A9,map!$B$1:$P$107,2,FALSE)</f>
        <v>#N/A</v>
      </c>
      <c r="B8" t="e">
        <f>VLOOKUP('უნიკალური პ.ნ.'!A9,map!$B$1:$P$105,3,FALSE)</f>
        <v>#N/A</v>
      </c>
      <c r="C8">
        <f>'უნიკალური პ.ნ.'!A9</f>
        <v>0</v>
      </c>
      <c r="D8">
        <f>SUMIF('გადასატანი ცხრილი'!$A$1:$A$205,'უნიკალური პ.ნ.'!A9,'გადასატანი ცხრილი'!$H$1:$H$205)</f>
        <v>0</v>
      </c>
      <c r="E8">
        <f>SUMIF('გადასატანი ცხრილი'!$A$1:$A$205,'უნიკალური პ.ნ.'!A9,'გადასატანი ცხრილი'!$I$1:$I$205)*2</f>
        <v>0</v>
      </c>
    </row>
    <row r="9" spans="1:5">
      <c r="A9" t="e">
        <f>VLOOKUP('უნიკალური პ.ნ.'!A10,map!$B$1:$P$107,2,FALSE)</f>
        <v>#N/A</v>
      </c>
      <c r="B9" t="e">
        <f>VLOOKUP('უნიკალური პ.ნ.'!A10,map!$B$1:$P$105,3,FALSE)</f>
        <v>#N/A</v>
      </c>
      <c r="C9">
        <f>'უნიკალური პ.ნ.'!A10</f>
        <v>0</v>
      </c>
      <c r="D9">
        <f>SUMIF('გადასატანი ცხრილი'!$A$1:$A$205,'უნიკალური პ.ნ.'!A10,'გადასატანი ცხრილი'!$H$1:$H$205)</f>
        <v>0</v>
      </c>
      <c r="E9">
        <f>SUMIF('გადასატანი ცხრილი'!$A$1:$A$205,'უნიკალური პ.ნ.'!A10,'გადასატანი ცხრილი'!$I$1:$I$205)*2</f>
        <v>0</v>
      </c>
    </row>
    <row r="10" spans="1:5">
      <c r="A10" t="e">
        <f>VLOOKUP('უნიკალური პ.ნ.'!A11,map!$B$1:$P$107,2,FALSE)</f>
        <v>#N/A</v>
      </c>
      <c r="B10" t="e">
        <f>VLOOKUP('უნიკალური პ.ნ.'!A11,map!$B$1:$P$105,3,FALSE)</f>
        <v>#N/A</v>
      </c>
      <c r="C10">
        <f>'უნიკალური პ.ნ.'!A11</f>
        <v>0</v>
      </c>
      <c r="D10">
        <f>SUMIF('გადასატანი ცხრილი'!$A$1:$A$205,'უნიკალური პ.ნ.'!A11,'გადასატანი ცხრილი'!$H$1:$H$205)</f>
        <v>0</v>
      </c>
      <c r="E10">
        <f>SUMIF('გადასატანი ცხრილი'!$A$1:$A$205,'უნიკალური პ.ნ.'!A11,'გადასატანი ცხრილი'!$I$1:$I$205)*2</f>
        <v>0</v>
      </c>
    </row>
    <row r="11" spans="1:5">
      <c r="A11" t="e">
        <f>VLOOKUP('უნიკალური პ.ნ.'!A12,map!$B$1:$P$107,2,FALSE)</f>
        <v>#N/A</v>
      </c>
      <c r="B11" t="e">
        <f>VLOOKUP('უნიკალური პ.ნ.'!A12,map!$B$1:$P$105,3,FALSE)</f>
        <v>#N/A</v>
      </c>
      <c r="C11">
        <f>'უნიკალური პ.ნ.'!A12</f>
        <v>0</v>
      </c>
      <c r="D11">
        <f>SUMIF('გადასატანი ცხრილი'!$A$1:$A$205,'უნიკალური პ.ნ.'!A12,'გადასატანი ცხრილი'!$H$1:$H$205)</f>
        <v>0</v>
      </c>
      <c r="E11">
        <f>SUMIF('გადასატანი ცხრილი'!$A$1:$A$205,'უნიკალური პ.ნ.'!A12,'გადასატანი ცხრილი'!$I$1:$I$205)*2</f>
        <v>0</v>
      </c>
    </row>
    <row r="12" spans="1:5">
      <c r="A12" t="e">
        <f>VLOOKUP('უნიკალური პ.ნ.'!A13,map!$B$1:$P$15,2,FALSE)</f>
        <v>#N/A</v>
      </c>
      <c r="B12" t="e">
        <f>VLOOKUP('უნიკალური პ.ნ.'!A13,map!$B$1:$P$15,3,FALSE)</f>
        <v>#N/A</v>
      </c>
      <c r="C12">
        <f>'უნიკალური პ.ნ.'!A13</f>
        <v>0</v>
      </c>
      <c r="D12">
        <f>SUMIF('გადასატანი ცხრილი'!$A$1:$A$25,'უნიკალური პ.ნ.'!A13,'გადასატანი ცხრილი'!$H$1:$H$25)</f>
        <v>0</v>
      </c>
      <c r="E12">
        <f>SUMIF('გადასატანი ცხრილი'!$A$1:$A$25,'უნიკალური პ.ნ.'!A13,'გადასატანი ცხრილი'!$I$1:$I$25)*2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ხელფასები</vt:lpstr>
      <vt:lpstr>map</vt:lpstr>
      <vt:lpstr>გადასატანი ცხრილი</vt:lpstr>
      <vt:lpstr>უნიკალური პ.ნ.</vt:lpstr>
      <vt:lpstr>საპენსიო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nino kharazishvilli</cp:lastModifiedBy>
  <dcterms:created xsi:type="dcterms:W3CDTF">2015-06-05T18:17:20Z</dcterms:created>
  <dcterms:modified xsi:type="dcterms:W3CDTF">2026-08-12T09:38:29Z</dcterms:modified>
</cp:coreProperties>
</file>