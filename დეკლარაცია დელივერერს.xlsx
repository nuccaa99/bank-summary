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441A1C9B-D5CF-4729-BE2C-A20615BD4900}" xr6:coauthVersionLast="36" xr6:coauthVersionMax="47" xr10:uidLastSave="{00000000-0000-0000-0000-000000000000}"/>
  <bookViews>
    <workbookView xWindow="0" yWindow="0" windowWidth="23040" windowHeight="8940" tabRatio="889" firstSheet="32" activeTab="46" xr2:uid="{262C77A9-C0EF-4E18-A530-ED4A8457AF6E}"/>
  </bookViews>
  <sheets>
    <sheet name="კალკულაცია აგვისტო" sheetId="3" r:id="rId1"/>
    <sheet name="ოქტომბერი" sheetId="4" r:id="rId2"/>
    <sheet name="ნოემბერი" sheetId="5" r:id="rId3"/>
    <sheet name="დეკემბერი" sheetId="6" r:id="rId4"/>
    <sheet name="იანვარი" sheetId="7" r:id="rId5"/>
    <sheet name="თებერვალი" sheetId="8" r:id="rId6"/>
    <sheet name="მარტი" sheetId="9" r:id="rId7"/>
    <sheet name="აპრილი" sheetId="10" r:id="rId8"/>
    <sheet name="მაისი" sheetId="11" r:id="rId9"/>
    <sheet name="ივნისი" sheetId="12" r:id="rId10"/>
    <sheet name="ივლისი" sheetId="13" r:id="rId11"/>
    <sheet name="აგვისტო" sheetId="14" r:id="rId12"/>
    <sheet name="სექტ" sheetId="15" r:id="rId13"/>
    <sheet name="ოქტ" sheetId="16" r:id="rId14"/>
    <sheet name="ნოემბ" sheetId="17" r:id="rId15"/>
    <sheet name="დეკ23" sheetId="18" r:id="rId16"/>
    <sheet name="იანვ24" sheetId="19" r:id="rId17"/>
    <sheet name="თებ24" sheetId="20" r:id="rId18"/>
    <sheet name="მარტ24" sheetId="21" r:id="rId19"/>
    <sheet name="აპრ24" sheetId="22" r:id="rId20"/>
    <sheet name="მაის24" sheetId="23" r:id="rId21"/>
    <sheet name="ივნისი24" sheetId="24" r:id="rId22"/>
    <sheet name="ივლისი24" sheetId="25" r:id="rId23"/>
    <sheet name="აგვისტო24" sheetId="26" r:id="rId24"/>
    <sheet name="სექ 24" sheetId="27" r:id="rId25"/>
    <sheet name="ოქტ 24" sheetId="28" r:id="rId26"/>
    <sheet name="ნოემ 24" sheetId="29" r:id="rId27"/>
    <sheet name="დეკ 24" sheetId="30" r:id="rId28"/>
    <sheet name="იანვარი 25" sheetId="31" r:id="rId29"/>
    <sheet name="თებერვალი 25" sheetId="32" r:id="rId30"/>
    <sheet name="მარტი 25" sheetId="33" r:id="rId31"/>
    <sheet name="აპრილი 25" sheetId="34" r:id="rId32"/>
    <sheet name="მაისი 25" sheetId="35" r:id="rId33"/>
    <sheet name="ივნ 25" sheetId="36" r:id="rId34"/>
    <sheet name="ივლ 25" sheetId="37" r:id="rId35"/>
    <sheet name="აგვისტო 25" sheetId="38" r:id="rId36"/>
    <sheet name="სექტ 25" sheetId="40" r:id="rId37"/>
    <sheet name="ოქტ 25" sheetId="39" r:id="rId38"/>
    <sheet name="ნოემ 25" sheetId="41" r:id="rId39"/>
    <sheet name="დეკ 25" sheetId="42" r:id="rId40"/>
    <sheet name="იანვ 26" sheetId="43" r:id="rId41"/>
    <sheet name="თებ 26" sheetId="44" r:id="rId42"/>
    <sheet name="მარ 26" sheetId="45" r:id="rId43"/>
    <sheet name="აპრილი 26" sheetId="46" r:id="rId44"/>
    <sheet name="მაისი 26" sheetId="47" r:id="rId45"/>
    <sheet name="ივნისი 26" sheetId="48" r:id="rId46"/>
    <sheet name="ივლისი 26" sheetId="49" r:id="rId4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49" l="1"/>
  <c r="E6" i="49" s="1"/>
  <c r="H8" i="49"/>
  <c r="D5" i="49"/>
  <c r="E5" i="49" s="1"/>
  <c r="J8" i="48" l="1"/>
  <c r="H6" i="48"/>
  <c r="C9" i="48" l="1"/>
  <c r="E6" i="48" s="1"/>
  <c r="D5" i="48"/>
  <c r="E5" i="48" s="1"/>
  <c r="H8" i="48" s="1"/>
  <c r="H5" i="47" l="1"/>
  <c r="E6" i="47"/>
  <c r="C9" i="47" l="1"/>
  <c r="H8" i="47"/>
  <c r="D5" i="47"/>
  <c r="E5" i="47" s="1"/>
  <c r="H8" i="46" l="1"/>
  <c r="D5" i="46"/>
  <c r="C9" i="46"/>
  <c r="E6" i="46" s="1"/>
  <c r="E5" i="46"/>
  <c r="E7" i="45" l="1"/>
  <c r="E6" i="45"/>
  <c r="C10" i="45"/>
  <c r="D6" i="45"/>
  <c r="H9" i="45"/>
  <c r="H6" i="44" l="1"/>
  <c r="C9" i="44" l="1"/>
  <c r="E6" i="44"/>
  <c r="H8" i="44"/>
  <c r="D5" i="44"/>
  <c r="E5" i="44" s="1"/>
  <c r="H8" i="43" l="1"/>
  <c r="E6" i="43" l="1"/>
  <c r="E5" i="43"/>
  <c r="D5" i="43"/>
  <c r="J20" i="42" l="1"/>
  <c r="H9" i="42"/>
  <c r="J10" i="42"/>
  <c r="J8" i="42"/>
  <c r="J9" i="42"/>
  <c r="H7" i="42" l="1"/>
  <c r="E7" i="42" l="1"/>
  <c r="E6" i="42"/>
  <c r="D7" i="42"/>
  <c r="D6" i="42"/>
  <c r="H6" i="41" l="1"/>
  <c r="D10" i="41" l="1"/>
  <c r="D9" i="41"/>
  <c r="D5" i="41"/>
  <c r="H7" i="41"/>
  <c r="H6" i="39" l="1"/>
  <c r="C9" i="39"/>
  <c r="D5" i="39"/>
  <c r="C7" i="39" l="1"/>
  <c r="D6" i="39" s="1"/>
  <c r="H7" i="39"/>
  <c r="H5" i="40" l="1"/>
  <c r="D5" i="40" l="1"/>
  <c r="C7" i="40"/>
  <c r="H6" i="40"/>
  <c r="D4" i="40"/>
  <c r="H6" i="38" l="1"/>
  <c r="C9" i="38" l="1"/>
  <c r="D5" i="38" l="1"/>
  <c r="D6" i="38" l="1"/>
  <c r="H7" i="38" l="1"/>
  <c r="G5" i="37"/>
  <c r="G4" i="37" l="1"/>
  <c r="G3" i="37" l="1"/>
  <c r="C7" i="37"/>
  <c r="D5" i="37"/>
  <c r="C4" i="37" l="1"/>
  <c r="C3" i="37"/>
  <c r="H3" i="36" l="1"/>
  <c r="K2" i="36" l="1"/>
  <c r="C7" i="36" l="1"/>
  <c r="B4" i="36" l="1"/>
  <c r="C4" i="36" s="1"/>
  <c r="C5" i="36" s="1"/>
  <c r="C6" i="36" s="1"/>
  <c r="H4" i="36"/>
  <c r="I6" i="35" l="1"/>
  <c r="D14" i="35" l="1"/>
  <c r="D6" i="35"/>
  <c r="I5" i="35" l="1"/>
  <c r="D8" i="35" l="1"/>
  <c r="D7" i="35" l="1"/>
  <c r="C6" i="35" l="1"/>
  <c r="E8" i="34" l="1"/>
  <c r="H7" i="34" l="1"/>
  <c r="D9" i="34" l="1"/>
  <c r="H8" i="34" l="1"/>
  <c r="C8" i="34"/>
  <c r="D8" i="34" s="1"/>
  <c r="I5" i="33" l="1"/>
  <c r="E7" i="33" l="1"/>
  <c r="F6" i="33"/>
  <c r="D6" i="33"/>
  <c r="E6" i="33" s="1"/>
  <c r="I6" i="33"/>
  <c r="C5" i="32" l="1"/>
  <c r="I5" i="32" l="1"/>
  <c r="K3" i="31"/>
  <c r="D7" i="31"/>
  <c r="C7" i="31"/>
  <c r="H5" i="32"/>
  <c r="H4" i="32"/>
  <c r="E5" i="32" l="1"/>
  <c r="D5" i="32" l="1"/>
  <c r="I4" i="31" l="1"/>
  <c r="D4" i="31" l="1"/>
  <c r="C4" i="31"/>
  <c r="I5" i="31" s="1"/>
  <c r="K6" i="30" l="1"/>
  <c r="K4" i="30"/>
  <c r="E5" i="30"/>
  <c r="I5" i="30" l="1"/>
  <c r="C5" i="30" l="1"/>
  <c r="D5" i="30" s="1"/>
  <c r="F5" i="30" s="1"/>
  <c r="I4" i="30" s="1"/>
  <c r="I6" i="30" s="1"/>
  <c r="I4" i="29" l="1"/>
  <c r="E4" i="29" l="1"/>
  <c r="D4" i="29"/>
  <c r="C4" i="29"/>
  <c r="I6" i="28" l="1"/>
  <c r="I5" i="28"/>
  <c r="D6" i="28"/>
  <c r="F6" i="28" l="1"/>
  <c r="I4" i="28" s="1"/>
  <c r="C6" i="28"/>
  <c r="E6" i="27" l="1"/>
  <c r="H5" i="27"/>
  <c r="D6" i="27"/>
  <c r="C6" i="27"/>
  <c r="G11" i="26" l="1"/>
  <c r="C5" i="26" l="1"/>
  <c r="K8" i="26" l="1"/>
  <c r="H11" i="26" l="1"/>
  <c r="I11" i="26" s="1"/>
  <c r="K10" i="26" s="1"/>
  <c r="I10" i="25" l="1"/>
  <c r="G10" i="25"/>
  <c r="K7" i="25" l="1"/>
  <c r="H10" i="25" l="1"/>
  <c r="K9" i="25"/>
  <c r="K8" i="24" l="1"/>
  <c r="N7" i="24"/>
  <c r="M7" i="24"/>
  <c r="K6" i="24" l="1"/>
  <c r="G9" i="24" l="1"/>
  <c r="H9" i="24" s="1"/>
  <c r="I9" i="24" s="1"/>
  <c r="K7" i="24" l="1"/>
  <c r="C6" i="24" l="1"/>
  <c r="G9" i="23" l="1"/>
  <c r="I9" i="23" l="1"/>
  <c r="H9" i="23"/>
  <c r="K7" i="23" l="1"/>
  <c r="K5" i="23" l="1"/>
  <c r="K8" i="23" s="1"/>
  <c r="H16" i="22" l="1"/>
  <c r="H17" i="22"/>
  <c r="K8" i="22"/>
  <c r="K6" i="22"/>
  <c r="H9" i="22"/>
  <c r="K7" i="22" l="1"/>
  <c r="C6" i="22" l="1"/>
  <c r="G9" i="22"/>
  <c r="L18" i="21" l="1"/>
  <c r="L20" i="21"/>
  <c r="K8" i="21"/>
  <c r="H9" i="21" l="1"/>
  <c r="K7" i="21" l="1"/>
  <c r="K6" i="21"/>
  <c r="C3" i="21" l="1"/>
  <c r="C6" i="21" l="1"/>
  <c r="G9" i="21"/>
  <c r="I9" i="21" l="1"/>
  <c r="K15" i="20"/>
  <c r="K13" i="20"/>
  <c r="K14" i="20" l="1"/>
  <c r="K7" i="20" l="1"/>
  <c r="I8" i="20"/>
  <c r="H8" i="20" l="1"/>
  <c r="K5" i="20"/>
  <c r="K6" i="20"/>
  <c r="G8" i="20" l="1"/>
  <c r="G5" i="20"/>
  <c r="C5" i="20" l="1"/>
  <c r="K7" i="19" l="1"/>
  <c r="K6" i="19"/>
  <c r="G8" i="19"/>
  <c r="H8" i="19" l="1"/>
  <c r="I8" i="19" s="1"/>
  <c r="C5" i="19"/>
  <c r="C15" i="18" l="1"/>
  <c r="C13" i="18"/>
  <c r="K8" i="18"/>
  <c r="K6" i="18"/>
  <c r="K7" i="18" l="1"/>
  <c r="I9" i="18"/>
  <c r="H9" i="18"/>
  <c r="G9" i="18" l="1"/>
  <c r="G6" i="18"/>
  <c r="C6" i="18"/>
  <c r="K10" i="17" l="1"/>
  <c r="K9" i="17"/>
  <c r="K8" i="17"/>
  <c r="G11" i="17" l="1"/>
  <c r="H11" i="17" s="1"/>
  <c r="I11" i="17" s="1"/>
  <c r="C8" i="17" l="1"/>
  <c r="K8" i="16" l="1"/>
  <c r="K7" i="16"/>
  <c r="C7" i="16" l="1"/>
  <c r="G10" i="16"/>
  <c r="H10" i="16" s="1"/>
  <c r="K9" i="16"/>
  <c r="K8" i="15" l="1"/>
  <c r="H9" i="15"/>
  <c r="G9" i="15"/>
  <c r="K7" i="15" l="1"/>
  <c r="K6" i="15"/>
  <c r="C6" i="15" l="1"/>
  <c r="K9" i="14" l="1"/>
  <c r="K8" i="14"/>
  <c r="K7" i="14"/>
  <c r="G11" i="14" l="1"/>
  <c r="H11" i="14" l="1"/>
  <c r="C7" i="14" l="1"/>
  <c r="C6" i="14"/>
  <c r="L6" i="13" l="1"/>
  <c r="G11" i="13" l="1"/>
  <c r="H11" i="13"/>
  <c r="K8" i="13" l="1"/>
  <c r="K7" i="13"/>
  <c r="C6" i="13" l="1"/>
  <c r="C7" i="13"/>
  <c r="L4" i="12" l="1"/>
  <c r="D5" i="12"/>
  <c r="G7" i="12"/>
  <c r="H7" i="12" l="1"/>
  <c r="K6" i="12"/>
  <c r="K5" i="12"/>
  <c r="C5" i="12" l="1"/>
  <c r="M5" i="11" l="1"/>
  <c r="L6" i="11" l="1"/>
  <c r="L7" i="11"/>
  <c r="I8" i="11"/>
  <c r="H8" i="11"/>
  <c r="C6" i="11" l="1"/>
  <c r="I8" i="10" l="1"/>
  <c r="E5" i="9" l="1"/>
  <c r="C7" i="9"/>
  <c r="I6" i="10" l="1"/>
  <c r="J5" i="10"/>
  <c r="I5" i="10"/>
  <c r="D7" i="10"/>
  <c r="C7" i="10"/>
  <c r="C6" i="10"/>
  <c r="I8" i="9" l="1"/>
  <c r="D7" i="9" l="1"/>
  <c r="I6" i="9" l="1"/>
  <c r="J5" i="9"/>
  <c r="E4" i="8" l="1"/>
  <c r="J7" i="8" l="1"/>
  <c r="J4" i="8"/>
  <c r="D6" i="8" l="1"/>
  <c r="I5" i="8"/>
  <c r="C12" i="8"/>
  <c r="C6" i="8" l="1"/>
  <c r="D5" i="8"/>
  <c r="D4" i="8"/>
  <c r="F18" i="7" l="1"/>
  <c r="D8" i="7" l="1"/>
  <c r="D19" i="7" l="1"/>
  <c r="E18" i="7"/>
  <c r="E15" i="7"/>
  <c r="E14" i="7"/>
  <c r="F13" i="7" l="1"/>
  <c r="E13" i="7"/>
  <c r="D11" i="5" l="1"/>
  <c r="C9" i="6"/>
  <c r="C8" i="6"/>
  <c r="C7" i="6"/>
  <c r="D2" i="4" l="1"/>
  <c r="D10" i="5" l="1"/>
  <c r="D1" i="4" l="1"/>
  <c r="C2" i="4" l="1"/>
  <c r="E2" i="3" l="1"/>
  <c r="F2" i="3"/>
  <c r="J8" i="3" l="1"/>
  <c r="D8" i="3"/>
  <c r="G2" i="3" l="1"/>
</calcChain>
</file>

<file path=xl/sharedStrings.xml><?xml version="1.0" encoding="utf-8"?>
<sst xmlns="http://schemas.openxmlformats.org/spreadsheetml/2006/main" count="348" uniqueCount="71">
  <si>
    <t>დელივერერს</t>
  </si>
  <si>
    <t>ვან დელივერი</t>
  </si>
  <si>
    <t>კრ.კ</t>
  </si>
  <si>
    <t>ჯამი</t>
  </si>
  <si>
    <t>დღგ</t>
  </si>
  <si>
    <t>ბანკი</t>
  </si>
  <si>
    <t>ინვოისი</t>
  </si>
  <si>
    <t>ხარჯი</t>
  </si>
  <si>
    <t>ორიფლეიმი</t>
  </si>
  <si>
    <t>შემოსავალი დღგ-ს გარეშე</t>
  </si>
  <si>
    <t>ხელფასი</t>
  </si>
  <si>
    <t>საშემოსავლი</t>
  </si>
  <si>
    <t>საპენსიო</t>
  </si>
  <si>
    <t>დელივერების ხელფასები</t>
  </si>
  <si>
    <t>ანგ ფაქტურები</t>
  </si>
  <si>
    <t>ბარათით ჩარიცხვები</t>
  </si>
  <si>
    <t>ოქტ</t>
  </si>
  <si>
    <t>სექტ</t>
  </si>
  <si>
    <t>ელენე კაპანაძე</t>
  </si>
  <si>
    <t>რაგბის კავშირი</t>
  </si>
  <si>
    <t>ბარათით</t>
  </si>
  <si>
    <t>მაია წიკლაური</t>
  </si>
  <si>
    <t>ნატო მინდიაშვილი</t>
  </si>
  <si>
    <t>მაი სისტ</t>
  </si>
  <si>
    <t>სმარტ ჰოტ</t>
  </si>
  <si>
    <t>თამარ გურიელი</t>
  </si>
  <si>
    <t>ანგ ფაქტურებით</t>
  </si>
  <si>
    <t>ანა მიმინოშვილი</t>
  </si>
  <si>
    <t xml:space="preserve"> </t>
  </si>
  <si>
    <t>დელ</t>
  </si>
  <si>
    <t>საშემოსავლო</t>
  </si>
  <si>
    <t>სხვაობა</t>
  </si>
  <si>
    <t>ვანი</t>
  </si>
  <si>
    <t>ანგ ფაქტ</t>
  </si>
  <si>
    <t>ლექსო</t>
  </si>
  <si>
    <t>ლარი სადღაც ზედმეტობა რომელიც აქვთ</t>
  </si>
  <si>
    <t>ანგ ფაქტურა</t>
  </si>
  <si>
    <t>deliverers</t>
  </si>
  <si>
    <t>one del</t>
  </si>
  <si>
    <t>საშემოს</t>
  </si>
  <si>
    <t>ბალანსი გამოვიყენე</t>
  </si>
  <si>
    <t>სითი ფეი</t>
  </si>
  <si>
    <t>დელ თბს</t>
  </si>
  <si>
    <t>დელ ბოგი</t>
  </si>
  <si>
    <t>ვან თბს</t>
  </si>
  <si>
    <t>ვან ბოგი</t>
  </si>
  <si>
    <t>შემოს</t>
  </si>
  <si>
    <t>შემოსავალი ვან</t>
  </si>
  <si>
    <t>ნატო მინდიაშვილი, 01017030270, TBCBGE22, GE61TB7963145061100033</t>
  </si>
  <si>
    <t>+ ივლისი</t>
  </si>
  <si>
    <t>სულ</t>
  </si>
  <si>
    <t>გურიელი</t>
  </si>
  <si>
    <t>ბარათ</t>
  </si>
  <si>
    <t>საკვების ფ</t>
  </si>
  <si>
    <t>დავაკორექტირე საქველმოქმედო ფონდი</t>
  </si>
  <si>
    <t>+152</t>
  </si>
  <si>
    <t>დარჩენილი საპენსიო</t>
  </si>
  <si>
    <t>?</t>
  </si>
  <si>
    <t>ოლექსანდრ დუბინა, GE,24TR34106, TBCBGE22, GE37TB7085145063400003</t>
  </si>
  <si>
    <t/>
  </si>
  <si>
    <t>შემოსავალი</t>
  </si>
  <si>
    <t>GE37TB7085145063400003</t>
  </si>
  <si>
    <t>ოლექსანდრ დუბინა, GE,24TR34106</t>
  </si>
  <si>
    <t>01891086032</t>
  </si>
  <si>
    <t>TBCBGE22</t>
  </si>
  <si>
    <t>სს "თიბისი ბანკი"</t>
  </si>
  <si>
    <t>GMB</t>
  </si>
  <si>
    <t>მოგება</t>
  </si>
  <si>
    <t>ცელერისი</t>
  </si>
  <si>
    <t>ჩთ</t>
  </si>
  <si>
    <t>საწვ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</si>
</sst>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dd/mm/yyyy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BPG Arial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"/>
      <name val="Arial"/>
      <family val="2"/>
    </font>
    <font>
      <sz val="10"/>
      <name val="Arial"/>
      <family val="2"/>
    </font>
    <font>
      <b/>
      <sz val="7"/>
      <color rgb="FF121517"/>
      <name val="BPG Arial"/>
    </font>
    <font>
      <sz val="7"/>
      <color rgb="FF5F5F5F"/>
      <name val="BPG Arial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14" fillId="0" borderId="0"/>
  </cellStyleXfs>
  <cellXfs count="60">
    <xf numFmtId="0" fontId="0" fillId="0" borderId="0" xfId="0"/>
    <xf numFmtId="0" fontId="0" fillId="2" borderId="0" xfId="0" applyFill="1"/>
    <xf numFmtId="0" fontId="1" fillId="2" borderId="0" xfId="0" applyFont="1" applyFill="1"/>
    <xf numFmtId="4" fontId="0" fillId="0" borderId="0" xfId="0" applyNumberFormat="1"/>
    <xf numFmtId="43" fontId="0" fillId="0" borderId="0" xfId="1" applyFont="1"/>
    <xf numFmtId="43" fontId="3" fillId="0" borderId="0" xfId="1" applyFont="1"/>
    <xf numFmtId="0" fontId="0" fillId="0" borderId="0" xfId="0" applyAlignment="1">
      <alignment horizontal="center"/>
    </xf>
    <xf numFmtId="43" fontId="3" fillId="0" borderId="0" xfId="0" applyNumberFormat="1" applyFont="1"/>
    <xf numFmtId="43" fontId="4" fillId="3" borderId="0" xfId="0" applyNumberFormat="1" applyFont="1" applyFill="1"/>
    <xf numFmtId="43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3" fillId="0" borderId="3" xfId="0" applyFont="1" applyBorder="1"/>
    <xf numFmtId="0" fontId="0" fillId="0" borderId="5" xfId="0" applyBorder="1"/>
    <xf numFmtId="2" fontId="0" fillId="0" borderId="7" xfId="0" applyNumberFormat="1" applyBorder="1"/>
    <xf numFmtId="0" fontId="3" fillId="3" borderId="2" xfId="0" applyFont="1" applyFill="1" applyBorder="1"/>
    <xf numFmtId="0" fontId="3" fillId="3" borderId="5" xfId="0" applyFont="1" applyFill="1" applyBorder="1"/>
    <xf numFmtId="0" fontId="0" fillId="3" borderId="0" xfId="0" applyFill="1"/>
    <xf numFmtId="0" fontId="0" fillId="0" borderId="0" xfId="0" applyFill="1"/>
    <xf numFmtId="0" fontId="5" fillId="0" borderId="0" xfId="0" applyFont="1"/>
    <xf numFmtId="4" fontId="6" fillId="0" borderId="0" xfId="0" applyNumberFormat="1" applyFont="1"/>
    <xf numFmtId="0" fontId="7" fillId="0" borderId="0" xfId="0" applyFont="1"/>
    <xf numFmtId="164" fontId="0" fillId="0" borderId="0" xfId="0" applyNumberFormat="1"/>
    <xf numFmtId="2" fontId="9" fillId="0" borderId="0" xfId="2" applyNumberFormat="1" applyFont="1" applyFill="1" applyBorder="1"/>
    <xf numFmtId="2" fontId="3" fillId="0" borderId="0" xfId="0" applyNumberFormat="1" applyFont="1"/>
    <xf numFmtId="0" fontId="3" fillId="2" borderId="0" xfId="0" applyFont="1" applyFill="1"/>
    <xf numFmtId="2" fontId="10" fillId="0" borderId="0" xfId="0" applyNumberFormat="1" applyFont="1"/>
    <xf numFmtId="2" fontId="9" fillId="0" borderId="0" xfId="0" applyNumberFormat="1" applyFont="1" applyFill="1" applyBorder="1"/>
    <xf numFmtId="0" fontId="0" fillId="0" borderId="0" xfId="0" applyNumberFormat="1" applyFont="1" applyFill="1" applyBorder="1"/>
    <xf numFmtId="0" fontId="11" fillId="0" borderId="0" xfId="0" applyFont="1"/>
    <xf numFmtId="0" fontId="0" fillId="0" borderId="0" xfId="0" applyFont="1" applyFill="1"/>
    <xf numFmtId="0" fontId="3" fillId="0" borderId="0" xfId="0" quotePrefix="1" applyFont="1"/>
    <xf numFmtId="0" fontId="10" fillId="0" borderId="0" xfId="0" applyFont="1"/>
    <xf numFmtId="0" fontId="0" fillId="0" borderId="0" xfId="0" applyFont="1"/>
    <xf numFmtId="0" fontId="12" fillId="0" borderId="0" xfId="0" applyFont="1"/>
    <xf numFmtId="4" fontId="3" fillId="0" borderId="0" xfId="0" applyNumberFormat="1" applyFont="1"/>
    <xf numFmtId="2" fontId="13" fillId="0" borderId="0" xfId="0" applyNumberFormat="1" applyFont="1" applyFill="1" applyBorder="1"/>
    <xf numFmtId="4" fontId="10" fillId="0" borderId="0" xfId="0" applyNumberFormat="1" applyFont="1"/>
    <xf numFmtId="0" fontId="0" fillId="0" borderId="0" xfId="0" quotePrefix="1"/>
    <xf numFmtId="0" fontId="15" fillId="0" borderId="0" xfId="0" applyFont="1"/>
    <xf numFmtId="0" fontId="16" fillId="0" borderId="0" xfId="0" applyFont="1"/>
    <xf numFmtId="0" fontId="6" fillId="0" borderId="0" xfId="0" applyFont="1"/>
    <xf numFmtId="0" fontId="17" fillId="4" borderId="0" xfId="0" applyFont="1" applyFill="1"/>
    <xf numFmtId="2" fontId="17" fillId="4" borderId="0" xfId="0" applyNumberFormat="1" applyFont="1" applyFill="1" applyBorder="1"/>
    <xf numFmtId="165" fontId="13" fillId="0" borderId="0" xfId="0" applyNumberFormat="1" applyFont="1"/>
    <xf numFmtId="0" fontId="13" fillId="0" borderId="0" xfId="0" applyFont="1"/>
    <xf numFmtId="2" fontId="13" fillId="0" borderId="0" xfId="0" applyNumberFormat="1" applyFont="1"/>
    <xf numFmtId="0" fontId="3" fillId="0" borderId="0" xfId="0" applyNumberFormat="1" applyFont="1" applyFill="1" applyBorder="1"/>
    <xf numFmtId="4" fontId="0" fillId="0" borderId="0" xfId="0" applyNumberFormat="1" applyFont="1"/>
    <xf numFmtId="43" fontId="15" fillId="0" borderId="0" xfId="1" applyFont="1"/>
    <xf numFmtId="43" fontId="3" fillId="3" borderId="0" xfId="1" applyFont="1" applyFill="1"/>
    <xf numFmtId="43" fontId="3" fillId="0" borderId="0" xfId="1" applyFont="1" applyFill="1"/>
    <xf numFmtId="43" fontId="0" fillId="0" borderId="0" xfId="1" applyFont="1" applyFill="1"/>
  </cellXfs>
  <cellStyles count="6">
    <cellStyle name="Comma" xfId="1" builtinId="3"/>
    <cellStyle name="Normal" xfId="0" builtinId="0"/>
    <cellStyle name="Normal 2" xfId="2" xr:uid="{89912461-AE6A-4C1A-A169-D58F505401B6}"/>
    <cellStyle name="Normal 2 2" xfId="4" xr:uid="{00000000-0005-0000-0000-000001000000}"/>
    <cellStyle name="Normal 3" xfId="3" xr:uid="{00000000-0005-0000-0000-000002000000}"/>
    <cellStyle name="Normal 4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39</xdr:col>
      <xdr:colOff>294894</xdr:colOff>
      <xdr:row>67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529E2-9FFC-4CF5-B9C8-6FD0636E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880" y="201168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33</xdr:col>
      <xdr:colOff>43434</xdr:colOff>
      <xdr:row>71</xdr:row>
      <xdr:rowOff>44434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F8E83-C5D3-4F9C-8026-0395C92EC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0820" y="27432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A784-3891-4DBD-AE5A-CC7B4C4B0133}">
  <dimension ref="A1:J8"/>
  <sheetViews>
    <sheetView workbookViewId="0">
      <selection activeCell="B3" sqref="B3"/>
    </sheetView>
  </sheetViews>
  <sheetFormatPr defaultRowHeight="14.4"/>
  <cols>
    <col min="1" max="1" width="16" customWidth="1"/>
    <col min="2" max="2" width="9.6640625" customWidth="1"/>
    <col min="3" max="3" width="11.88671875" customWidth="1"/>
    <col min="4" max="5" width="9.6640625" customWidth="1"/>
    <col min="6" max="6" width="15.6640625" customWidth="1"/>
    <col min="7" max="7" width="26.44140625" customWidth="1"/>
    <col min="8" max="8" width="31.5546875" customWidth="1"/>
    <col min="9" max="9" width="13.33203125" customWidth="1"/>
    <col min="10" max="10" width="29.88671875" customWidth="1"/>
  </cols>
  <sheetData>
    <row r="1" spans="1:10">
      <c r="A1" t="s">
        <v>0</v>
      </c>
      <c r="B1" t="s">
        <v>5</v>
      </c>
      <c r="C1" t="s">
        <v>2</v>
      </c>
      <c r="D1" t="s">
        <v>6</v>
      </c>
      <c r="E1" t="s">
        <v>3</v>
      </c>
      <c r="F1" t="s">
        <v>4</v>
      </c>
      <c r="G1" t="s">
        <v>9</v>
      </c>
      <c r="H1" t="s">
        <v>8</v>
      </c>
      <c r="I1" t="s">
        <v>7</v>
      </c>
    </row>
    <row r="2" spans="1:10">
      <c r="B2" s="1">
        <v>2412</v>
      </c>
      <c r="C2">
        <v>5238</v>
      </c>
      <c r="D2">
        <v>5796</v>
      </c>
      <c r="E2">
        <f>C2+D2</f>
        <v>11034</v>
      </c>
      <c r="F2">
        <f>E2*15.2542%</f>
        <v>1683.1484280000002</v>
      </c>
      <c r="G2">
        <f>E2-F2</f>
        <v>9350.8515719999996</v>
      </c>
      <c r="H2">
        <v>3540</v>
      </c>
      <c r="I2">
        <v>11266</v>
      </c>
      <c r="J2">
        <v>4125</v>
      </c>
    </row>
    <row r="3" spans="1:10">
      <c r="B3" s="3">
        <v>1444.23</v>
      </c>
      <c r="C3">
        <v>6188</v>
      </c>
    </row>
    <row r="7" spans="1:10">
      <c r="A7" t="s">
        <v>1</v>
      </c>
      <c r="B7" t="s">
        <v>5</v>
      </c>
      <c r="C7" t="s">
        <v>6</v>
      </c>
      <c r="D7" t="s">
        <v>3</v>
      </c>
      <c r="E7" t="s">
        <v>10</v>
      </c>
      <c r="F7" t="s">
        <v>11</v>
      </c>
      <c r="G7" t="s">
        <v>12</v>
      </c>
      <c r="H7" t="s">
        <v>13</v>
      </c>
      <c r="I7" t="s">
        <v>7</v>
      </c>
    </row>
    <row r="8" spans="1:10" ht="15.6">
      <c r="B8">
        <v>3556</v>
      </c>
      <c r="C8">
        <v>2020</v>
      </c>
      <c r="D8">
        <f>B8+C8</f>
        <v>5576</v>
      </c>
      <c r="E8" s="1">
        <v>500</v>
      </c>
      <c r="F8" s="1">
        <v>125</v>
      </c>
      <c r="G8" s="1">
        <v>26</v>
      </c>
      <c r="H8" s="2">
        <v>8085</v>
      </c>
      <c r="I8" s="1">
        <v>850</v>
      </c>
      <c r="J8">
        <f>D8-E8-F8-G8-H8</f>
        <v>-3160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21B-EEB1-4375-BB8D-7C2371190BF0}">
  <dimension ref="B1:E7"/>
  <sheetViews>
    <sheetView workbookViewId="0">
      <selection activeCell="F9" sqref="F9"/>
    </sheetView>
  </sheetViews>
  <sheetFormatPr defaultRowHeight="14.4"/>
  <cols>
    <col min="2" max="2" width="20.44140625" bestFit="1" customWidth="1"/>
    <col min="3" max="3" width="20.44140625" customWidth="1"/>
    <col min="4" max="4" width="19.77734375" customWidth="1"/>
    <col min="5" max="5" width="10.109375" bestFit="1" customWidth="1"/>
  </cols>
  <sheetData>
    <row r="1" spans="2:5">
      <c r="D1" s="8">
        <f>D2/1.18</f>
        <v>11062.372881355936</v>
      </c>
    </row>
    <row r="2" spans="2:5">
      <c r="C2" s="5">
        <f>SUBTOTAL(9,C4:C14)</f>
        <v>10075.27</v>
      </c>
      <c r="D2" s="5">
        <f>SUBTOTAL(9,D4:D14)</f>
        <v>13053.600000000002</v>
      </c>
      <c r="E2" s="7"/>
    </row>
    <row r="3" spans="2:5">
      <c r="C3" s="6" t="s">
        <v>17</v>
      </c>
      <c r="D3" s="6" t="s">
        <v>16</v>
      </c>
    </row>
    <row r="4" spans="2:5">
      <c r="B4" t="s">
        <v>14</v>
      </c>
      <c r="C4" s="4">
        <v>3887</v>
      </c>
      <c r="D4" s="4">
        <v>7661.36</v>
      </c>
    </row>
    <row r="5" spans="2:5">
      <c r="B5" t="s">
        <v>15</v>
      </c>
      <c r="C5" s="4">
        <v>6188.27</v>
      </c>
      <c r="D5" s="4">
        <v>5340.2400000000025</v>
      </c>
    </row>
    <row r="6" spans="2:5">
      <c r="C6" t="s">
        <v>18</v>
      </c>
      <c r="D6">
        <v>13</v>
      </c>
    </row>
    <row r="7" spans="2:5">
      <c r="C7" t="s">
        <v>19</v>
      </c>
      <c r="D7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E04D-696B-4DFC-B181-5D22FB06CEC7}">
  <dimension ref="C3:D11"/>
  <sheetViews>
    <sheetView workbookViewId="0">
      <selection activeCell="D12" sqref="D12"/>
    </sheetView>
  </sheetViews>
  <sheetFormatPr defaultRowHeight="14.4"/>
  <cols>
    <col min="3" max="3" width="18.6640625" bestFit="1" customWidth="1"/>
    <col min="4" max="4" width="16.33203125" customWidth="1"/>
  </cols>
  <sheetData>
    <row r="3" spans="3:4">
      <c r="C3" t="s">
        <v>20</v>
      </c>
      <c r="D3" s="4">
        <v>6399.6700000000046</v>
      </c>
    </row>
    <row r="4" spans="3:4">
      <c r="C4" t="s">
        <v>14</v>
      </c>
      <c r="D4" s="4">
        <v>18130.78</v>
      </c>
    </row>
    <row r="5" spans="3:4">
      <c r="C5" t="s">
        <v>21</v>
      </c>
      <c r="D5">
        <v>57.55</v>
      </c>
    </row>
    <row r="6" spans="3:4">
      <c r="C6" t="s">
        <v>22</v>
      </c>
      <c r="D6">
        <v>17.7</v>
      </c>
    </row>
    <row r="7" spans="3:4">
      <c r="C7" t="s">
        <v>25</v>
      </c>
      <c r="D7">
        <v>141.18</v>
      </c>
    </row>
    <row r="8" spans="3:4">
      <c r="C8" t="s">
        <v>23</v>
      </c>
      <c r="D8">
        <v>13</v>
      </c>
    </row>
    <row r="9" spans="3:4">
      <c r="C9" t="s">
        <v>24</v>
      </c>
      <c r="D9">
        <v>128</v>
      </c>
    </row>
    <row r="10" spans="3:4">
      <c r="D10" s="7">
        <f>SUM(D3:D9)</f>
        <v>24887.880000000005</v>
      </c>
    </row>
    <row r="11" spans="3:4">
      <c r="D11" s="9">
        <f>D10/1.18</f>
        <v>21091.423728813563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02F2-6406-456D-AD26-7CDD6C096A53}">
  <dimension ref="B5:C10"/>
  <sheetViews>
    <sheetView workbookViewId="0">
      <selection activeCell="I16" sqref="I16"/>
    </sheetView>
  </sheetViews>
  <sheetFormatPr defaultRowHeight="14.4"/>
  <cols>
    <col min="2" max="2" width="16.33203125" bestFit="1" customWidth="1"/>
    <col min="3" max="3" width="10.109375" style="4" bestFit="1" customWidth="1"/>
  </cols>
  <sheetData>
    <row r="5" spans="2:3">
      <c r="B5" t="s">
        <v>26</v>
      </c>
      <c r="C5" s="4">
        <v>31532.42</v>
      </c>
    </row>
    <row r="6" spans="2:3">
      <c r="B6" t="s">
        <v>27</v>
      </c>
      <c r="C6" s="4">
        <v>11.2</v>
      </c>
    </row>
    <row r="7" spans="2:3">
      <c r="C7" s="4">
        <f>C5+C6</f>
        <v>31543.62</v>
      </c>
    </row>
    <row r="8" spans="2:3">
      <c r="C8" s="4">
        <f>C7/1.18</f>
        <v>26731.881355932204</v>
      </c>
    </row>
    <row r="9" spans="2:3">
      <c r="C9" s="4">
        <f>C8*0.18</f>
        <v>4811.7386440677965</v>
      </c>
    </row>
    <row r="10" spans="2:3">
      <c r="C10" s="4" t="s">
        <v>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B67-503D-428C-82C4-722BB660D290}">
  <dimension ref="C5:H19"/>
  <sheetViews>
    <sheetView workbookViewId="0">
      <selection activeCell="E15" sqref="E15"/>
    </sheetView>
  </sheetViews>
  <sheetFormatPr defaultRowHeight="14.4"/>
  <cols>
    <col min="3" max="3" width="17.109375" customWidth="1"/>
  </cols>
  <sheetData>
    <row r="5" spans="3:6" ht="15" thickBot="1">
      <c r="C5" s="10" t="s">
        <v>32</v>
      </c>
    </row>
    <row r="6" spans="3:6">
      <c r="C6" s="11" t="s">
        <v>31</v>
      </c>
      <c r="D6" s="18">
        <v>26.8</v>
      </c>
      <c r="E6" s="19">
        <v>330.15</v>
      </c>
    </row>
    <row r="7" spans="3:6">
      <c r="C7" s="13" t="s">
        <v>30</v>
      </c>
      <c r="D7" s="14">
        <v>300</v>
      </c>
      <c r="E7" s="20"/>
    </row>
    <row r="8" spans="3:6" ht="15" thickBot="1">
      <c r="C8" s="15" t="s">
        <v>12</v>
      </c>
      <c r="D8" s="21">
        <f>1530.62*0.02*2</f>
        <v>61.224799999999995</v>
      </c>
      <c r="E8" s="17"/>
    </row>
    <row r="12" spans="3:6">
      <c r="C12" s="10" t="s">
        <v>29</v>
      </c>
    </row>
    <row r="13" spans="3:6">
      <c r="C13" t="s">
        <v>33</v>
      </c>
      <c r="D13" s="3">
        <v>11823.93</v>
      </c>
      <c r="E13">
        <f>D13/1.18</f>
        <v>10020.27966101695</v>
      </c>
      <c r="F13">
        <f>E13*0.18</f>
        <v>1803.6503389830509</v>
      </c>
    </row>
    <row r="14" spans="3:6">
      <c r="C14" t="s">
        <v>34</v>
      </c>
      <c r="D14">
        <v>2000</v>
      </c>
      <c r="E14">
        <f>D14/1.18</f>
        <v>1694.9152542372883</v>
      </c>
    </row>
    <row r="15" spans="3:6">
      <c r="E15">
        <f>SUM(E13:E14)</f>
        <v>11715.194915254238</v>
      </c>
    </row>
    <row r="16" spans="3:6" ht="15" thickBot="1"/>
    <row r="17" spans="3:8">
      <c r="C17" s="11" t="s">
        <v>4</v>
      </c>
      <c r="D17" s="22">
        <v>2039</v>
      </c>
      <c r="E17" s="12"/>
      <c r="G17">
        <v>500</v>
      </c>
      <c r="H17" t="s">
        <v>35</v>
      </c>
    </row>
    <row r="18" spans="3:8">
      <c r="C18" s="13" t="s">
        <v>30</v>
      </c>
      <c r="D18" s="14">
        <v>1392.75</v>
      </c>
      <c r="E18" s="23">
        <f>D18-200</f>
        <v>1192.75</v>
      </c>
      <c r="F18">
        <f>E18+D17</f>
        <v>3231.75</v>
      </c>
    </row>
    <row r="19" spans="3:8" ht="15" thickBot="1">
      <c r="C19" s="15" t="s">
        <v>12</v>
      </c>
      <c r="D19" s="16">
        <f>121.73*2</f>
        <v>243.46</v>
      </c>
      <c r="E19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754B-6138-42EF-915B-B246E1D45162}">
  <dimension ref="B3:J12"/>
  <sheetViews>
    <sheetView workbookViewId="0">
      <selection activeCell="D6" sqref="D6"/>
    </sheetView>
  </sheetViews>
  <sheetFormatPr defaultRowHeight="14.4"/>
  <cols>
    <col min="2" max="2" width="12.5546875" bestFit="1" customWidth="1"/>
    <col min="8" max="8" width="16.88671875" customWidth="1"/>
  </cols>
  <sheetData>
    <row r="3" spans="2:10">
      <c r="B3" s="10" t="s">
        <v>37</v>
      </c>
    </row>
    <row r="4" spans="2:10">
      <c r="B4" t="s">
        <v>36</v>
      </c>
      <c r="C4" s="3">
        <v>10703.4</v>
      </c>
      <c r="D4">
        <f>C4/1.18</f>
        <v>9070.6779661016953</v>
      </c>
      <c r="E4">
        <f>D6*0.18</f>
        <v>2319.1627118644069</v>
      </c>
      <c r="H4" t="s">
        <v>30</v>
      </c>
      <c r="I4">
        <v>693.75</v>
      </c>
      <c r="J4">
        <f>I4-200</f>
        <v>493.75</v>
      </c>
    </row>
    <row r="5" spans="2:10">
      <c r="B5" t="s">
        <v>20</v>
      </c>
      <c r="C5">
        <v>4500</v>
      </c>
      <c r="D5">
        <f>C5/1.18</f>
        <v>3813.5593220338983</v>
      </c>
      <c r="H5" t="s">
        <v>12</v>
      </c>
      <c r="I5">
        <f>50.34*2</f>
        <v>100.68</v>
      </c>
    </row>
    <row r="6" spans="2:10">
      <c r="C6" s="3">
        <f>SUM(C4:C5)</f>
        <v>15203.4</v>
      </c>
      <c r="D6">
        <f>SUM(D4:D5)</f>
        <v>12884.237288135593</v>
      </c>
      <c r="H6" t="s">
        <v>4</v>
      </c>
      <c r="I6">
        <v>2288</v>
      </c>
    </row>
    <row r="7" spans="2:10">
      <c r="J7">
        <f>J4+I6</f>
        <v>2781.75</v>
      </c>
    </row>
    <row r="10" spans="2:10">
      <c r="B10" s="10" t="s">
        <v>38</v>
      </c>
    </row>
    <row r="11" spans="2:10">
      <c r="B11" t="s">
        <v>39</v>
      </c>
      <c r="C11">
        <v>140</v>
      </c>
    </row>
    <row r="12" spans="2:10">
      <c r="B12" t="s">
        <v>12</v>
      </c>
      <c r="C12">
        <f>14.29*2</f>
        <v>28.58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0F3D-BF5E-4922-8B4E-AAE56F354752}">
  <dimension ref="B4:J13"/>
  <sheetViews>
    <sheetView workbookViewId="0">
      <selection activeCell="E6" sqref="E6"/>
    </sheetView>
  </sheetViews>
  <sheetFormatPr defaultRowHeight="14.4"/>
  <cols>
    <col min="2" max="2" width="14.44140625" customWidth="1"/>
    <col min="5" max="5" width="9.44140625" bestFit="1" customWidth="1"/>
    <col min="8" max="8" width="13.44140625" bestFit="1" customWidth="1"/>
  </cols>
  <sheetData>
    <row r="4" spans="2:10">
      <c r="B4" s="10" t="s">
        <v>37</v>
      </c>
    </row>
    <row r="5" spans="2:10">
      <c r="B5" t="s">
        <v>36</v>
      </c>
      <c r="C5" s="3">
        <v>23685.51</v>
      </c>
      <c r="D5">
        <v>446.04</v>
      </c>
      <c r="E5" s="5">
        <f>D5/1.18*0.18</f>
        <v>68.040000000000006</v>
      </c>
      <c r="H5" t="s">
        <v>30</v>
      </c>
      <c r="I5">
        <v>695.25</v>
      </c>
      <c r="J5" s="10">
        <f>I5-200</f>
        <v>495.25</v>
      </c>
    </row>
    <row r="6" spans="2:10">
      <c r="B6" t="s">
        <v>20</v>
      </c>
      <c r="C6">
        <v>2600</v>
      </c>
      <c r="H6" t="s">
        <v>12</v>
      </c>
      <c r="I6" s="10">
        <f>50.52*2</f>
        <v>101.04</v>
      </c>
    </row>
    <row r="7" spans="2:10">
      <c r="C7" s="3">
        <f>SUM(C5:C6)+D5</f>
        <v>26731.55</v>
      </c>
      <c r="D7" s="10">
        <f>C7/1.18</f>
        <v>22653.855932203391</v>
      </c>
      <c r="H7" t="s">
        <v>4</v>
      </c>
      <c r="I7" s="10">
        <v>3896</v>
      </c>
    </row>
    <row r="8" spans="2:10">
      <c r="I8">
        <f>I7+J5</f>
        <v>4391.25</v>
      </c>
    </row>
    <row r="11" spans="2:10">
      <c r="B11" s="10" t="s">
        <v>38</v>
      </c>
    </row>
    <row r="12" spans="2:10">
      <c r="B12" t="s">
        <v>39</v>
      </c>
      <c r="C12" s="24">
        <v>150</v>
      </c>
    </row>
    <row r="13" spans="2:10">
      <c r="B13" t="s">
        <v>12</v>
      </c>
      <c r="C13" s="24">
        <v>30.62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01D3-665B-45BA-AB84-E701F3AA15BC}">
  <dimension ref="B4:J13"/>
  <sheetViews>
    <sheetView workbookViewId="0">
      <selection activeCell="J5" activeCellId="1" sqref="I7 J5"/>
    </sheetView>
  </sheetViews>
  <sheetFormatPr defaultRowHeight="14.4"/>
  <cols>
    <col min="2" max="2" width="12.5546875" bestFit="1" customWidth="1"/>
    <col min="8" max="8" width="13.44140625" bestFit="1" customWidth="1"/>
  </cols>
  <sheetData>
    <row r="4" spans="2:10">
      <c r="B4" s="10" t="s">
        <v>37</v>
      </c>
    </row>
    <row r="5" spans="2:10">
      <c r="B5" t="s">
        <v>36</v>
      </c>
      <c r="C5" s="3">
        <v>18014.95</v>
      </c>
      <c r="E5" s="5"/>
      <c r="H5" t="s">
        <v>30</v>
      </c>
      <c r="I5">
        <f>416.25</f>
        <v>416.25</v>
      </c>
      <c r="J5" s="10">
        <f>I5-200</f>
        <v>216.25</v>
      </c>
    </row>
    <row r="6" spans="2:10">
      <c r="B6" t="s">
        <v>20</v>
      </c>
      <c r="C6">
        <f>1700+3000+1400</f>
        <v>6100</v>
      </c>
      <c r="H6" t="s">
        <v>12</v>
      </c>
      <c r="I6" s="10">
        <f>22.06*2</f>
        <v>44.12</v>
      </c>
    </row>
    <row r="7" spans="2:10">
      <c r="C7" s="3">
        <f>SUM(C5:C6)</f>
        <v>24114.95</v>
      </c>
      <c r="D7" s="10">
        <f>C7/1.18</f>
        <v>20436.398305084749</v>
      </c>
      <c r="H7" t="s">
        <v>4</v>
      </c>
      <c r="I7" s="10">
        <v>3555</v>
      </c>
    </row>
    <row r="8" spans="2:10">
      <c r="I8">
        <f>I7+J5</f>
        <v>3771.25</v>
      </c>
    </row>
    <row r="11" spans="2:10">
      <c r="B11" s="10"/>
    </row>
    <row r="12" spans="2:10">
      <c r="C12" s="25"/>
    </row>
    <row r="13" spans="2:10">
      <c r="C13" s="2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24EB-92E1-4B64-B079-405652B8C432}">
  <dimension ref="B4:M8"/>
  <sheetViews>
    <sheetView workbookViewId="0">
      <selection activeCell="G3" sqref="G3:M9"/>
    </sheetView>
  </sheetViews>
  <sheetFormatPr defaultRowHeight="14.4"/>
  <cols>
    <col min="2" max="2" width="13.44140625" bestFit="1" customWidth="1"/>
    <col min="7" max="7" width="12.5546875" bestFit="1" customWidth="1"/>
    <col min="11" max="11" width="13.44140625" bestFit="1" customWidth="1"/>
  </cols>
  <sheetData>
    <row r="4" spans="2:13">
      <c r="B4" s="10" t="s">
        <v>32</v>
      </c>
      <c r="G4" s="10" t="s">
        <v>37</v>
      </c>
    </row>
    <row r="5" spans="2:13">
      <c r="B5" t="s">
        <v>30</v>
      </c>
      <c r="C5">
        <v>157.5</v>
      </c>
      <c r="G5" t="s">
        <v>36</v>
      </c>
      <c r="H5" s="3">
        <v>21375.62</v>
      </c>
      <c r="K5" t="s">
        <v>4</v>
      </c>
      <c r="L5" s="10">
        <v>3766</v>
      </c>
      <c r="M5" s="10">
        <f>L5+L6</f>
        <v>4388.75</v>
      </c>
    </row>
    <row r="6" spans="2:13">
      <c r="B6" t="s">
        <v>12</v>
      </c>
      <c r="C6">
        <f>16.07*2</f>
        <v>32.14</v>
      </c>
      <c r="G6" t="s">
        <v>20</v>
      </c>
      <c r="H6">
        <v>4000</v>
      </c>
      <c r="K6" t="s">
        <v>30</v>
      </c>
      <c r="L6" s="10">
        <f>822.75-200</f>
        <v>622.75</v>
      </c>
    </row>
    <row r="7" spans="2:13">
      <c r="H7">
        <v>13</v>
      </c>
      <c r="K7" t="s">
        <v>12</v>
      </c>
      <c r="L7" s="10">
        <f>63.55*2</f>
        <v>127.1</v>
      </c>
    </row>
    <row r="8" spans="2:13">
      <c r="H8" s="3">
        <f>SUM(H5:H7)</f>
        <v>25388.62</v>
      </c>
      <c r="I8" s="10">
        <f>H8/1.18</f>
        <v>21515.77966101695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73BA-41F6-4CD4-B318-C39676EF4AA3}">
  <dimension ref="B1:L7"/>
  <sheetViews>
    <sheetView workbookViewId="0">
      <selection activeCell="I12" sqref="I12"/>
    </sheetView>
  </sheetViews>
  <sheetFormatPr defaultRowHeight="14.4"/>
  <cols>
    <col min="2" max="2" width="13.44140625" bestFit="1" customWidth="1"/>
    <col min="5" max="5" width="21.33203125" customWidth="1"/>
    <col min="6" max="6" width="15.5546875" customWidth="1"/>
    <col min="10" max="10" width="19.77734375" customWidth="1"/>
  </cols>
  <sheetData>
    <row r="1" spans="2:12">
      <c r="G1" s="3">
        <v>18126.78</v>
      </c>
    </row>
    <row r="3" spans="2:12">
      <c r="B3" s="10" t="s">
        <v>32</v>
      </c>
      <c r="F3" s="10" t="s">
        <v>37</v>
      </c>
    </row>
    <row r="4" spans="2:12">
      <c r="B4" t="s">
        <v>30</v>
      </c>
      <c r="C4">
        <v>337.5</v>
      </c>
      <c r="F4" t="s">
        <v>36</v>
      </c>
      <c r="G4" s="3">
        <v>18068.28</v>
      </c>
      <c r="H4" s="3"/>
      <c r="I4" s="3"/>
      <c r="J4" t="s">
        <v>4</v>
      </c>
      <c r="K4" s="26">
        <v>2999</v>
      </c>
      <c r="L4" s="10">
        <f>K4+K5</f>
        <v>3469.25</v>
      </c>
    </row>
    <row r="5" spans="2:12">
      <c r="B5" t="s">
        <v>12</v>
      </c>
      <c r="C5">
        <f>34.44*2</f>
        <v>68.88</v>
      </c>
      <c r="D5">
        <f>C5-29</f>
        <v>39.879999999999995</v>
      </c>
      <c r="F5" t="s">
        <v>20</v>
      </c>
      <c r="G5">
        <v>3000</v>
      </c>
      <c r="J5" t="s">
        <v>30</v>
      </c>
      <c r="K5" s="10">
        <f>670.25-200</f>
        <v>470.25</v>
      </c>
    </row>
    <row r="6" spans="2:12">
      <c r="D6" t="s">
        <v>40</v>
      </c>
      <c r="G6">
        <v>6.5</v>
      </c>
      <c r="J6" t="s">
        <v>12</v>
      </c>
      <c r="K6" s="10">
        <f>47.98*2</f>
        <v>95.96</v>
      </c>
    </row>
    <row r="7" spans="2:12">
      <c r="G7" s="3">
        <f>SUM(G4:G6)</f>
        <v>21074.78</v>
      </c>
      <c r="H7" s="10">
        <f>G7/1.18</f>
        <v>17859.983050847459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5368-48FD-4A6E-8968-6F470662FB28}">
  <dimension ref="B3:L11"/>
  <sheetViews>
    <sheetView workbookViewId="0">
      <selection activeCell="K13" sqref="K13"/>
    </sheetView>
  </sheetViews>
  <sheetFormatPr defaultRowHeight="14.4"/>
  <cols>
    <col min="2" max="2" width="13.44140625" bestFit="1" customWidth="1"/>
    <col min="6" max="6" width="14.88671875" customWidth="1"/>
    <col min="10" max="10" width="16.44140625" customWidth="1"/>
  </cols>
  <sheetData>
    <row r="3" spans="2:12">
      <c r="G3" s="3"/>
    </row>
    <row r="5" spans="2:12">
      <c r="B5" s="10" t="s">
        <v>32</v>
      </c>
      <c r="F5" s="10" t="s">
        <v>37</v>
      </c>
      <c r="G5" s="27"/>
    </row>
    <row r="6" spans="2:12">
      <c r="B6" t="s">
        <v>30</v>
      </c>
      <c r="C6">
        <f>12+350</f>
        <v>362</v>
      </c>
      <c r="F6" t="s">
        <v>36</v>
      </c>
      <c r="G6" s="3">
        <v>20708.59</v>
      </c>
      <c r="H6" s="3"/>
      <c r="I6" s="3"/>
      <c r="J6" t="s">
        <v>4</v>
      </c>
      <c r="K6" s="28">
        <v>3763</v>
      </c>
      <c r="L6" s="10">
        <f>K6+K7</f>
        <v>4219.49</v>
      </c>
    </row>
    <row r="7" spans="2:12">
      <c r="B7" t="s">
        <v>12</v>
      </c>
      <c r="C7">
        <f>35.72*2</f>
        <v>71.44</v>
      </c>
      <c r="F7" t="s">
        <v>20</v>
      </c>
      <c r="G7">
        <v>4700</v>
      </c>
      <c r="J7" t="s">
        <v>30</v>
      </c>
      <c r="K7" s="10">
        <f>656.49-200</f>
        <v>456.49</v>
      </c>
    </row>
    <row r="8" spans="2:12">
      <c r="G8">
        <v>13</v>
      </c>
      <c r="J8" t="s">
        <v>12</v>
      </c>
      <c r="K8" s="10">
        <f>46.58*2</f>
        <v>93.16</v>
      </c>
    </row>
    <row r="9" spans="2:12">
      <c r="G9">
        <v>45.5</v>
      </c>
    </row>
    <row r="10" spans="2:12">
      <c r="G10">
        <v>333</v>
      </c>
    </row>
    <row r="11" spans="2:12">
      <c r="G11" s="3">
        <f>SUM(G6:G10)</f>
        <v>25800.09</v>
      </c>
      <c r="H11" s="10">
        <f>G11/1.18</f>
        <v>21864.483050847459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F85F-02B4-4520-9846-82A24EC38E20}">
  <dimension ref="B5:K11"/>
  <sheetViews>
    <sheetView workbookViewId="0">
      <selection activeCell="F3" sqref="F3:K15"/>
    </sheetView>
  </sheetViews>
  <sheetFormatPr defaultRowHeight="14.4"/>
  <cols>
    <col min="2" max="2" width="13.44140625" bestFit="1" customWidth="1"/>
    <col min="6" max="6" width="16.5546875" customWidth="1"/>
    <col min="10" max="10" width="16.109375" customWidth="1"/>
  </cols>
  <sheetData>
    <row r="5" spans="2:11">
      <c r="B5" s="10" t="s">
        <v>32</v>
      </c>
      <c r="F5" s="10" t="s">
        <v>37</v>
      </c>
      <c r="G5" s="27"/>
    </row>
    <row r="6" spans="2:11">
      <c r="B6" t="s">
        <v>30</v>
      </c>
      <c r="C6">
        <f>362.5+4.5</f>
        <v>367</v>
      </c>
      <c r="F6" t="s">
        <v>36</v>
      </c>
      <c r="G6" s="3">
        <v>16402.86</v>
      </c>
      <c r="I6" s="3"/>
      <c r="J6" t="s">
        <v>4</v>
      </c>
      <c r="K6" s="10">
        <v>2267</v>
      </c>
    </row>
    <row r="7" spans="2:11">
      <c r="B7" t="s">
        <v>12</v>
      </c>
      <c r="C7">
        <f>37*2</f>
        <v>74</v>
      </c>
      <c r="F7" t="s">
        <v>20</v>
      </c>
      <c r="G7">
        <v>0</v>
      </c>
      <c r="J7" t="s">
        <v>30</v>
      </c>
      <c r="K7" s="10">
        <f>682.5-200</f>
        <v>482.5</v>
      </c>
    </row>
    <row r="8" spans="2:11">
      <c r="F8" s="10" t="s">
        <v>41</v>
      </c>
      <c r="G8">
        <v>13</v>
      </c>
      <c r="J8" t="s">
        <v>12</v>
      </c>
      <c r="K8" s="10">
        <f>49.26*2</f>
        <v>98.52</v>
      </c>
    </row>
    <row r="9" spans="2:11">
      <c r="K9" s="10">
        <f>K7+K6</f>
        <v>2749.5</v>
      </c>
    </row>
    <row r="11" spans="2:11">
      <c r="G11" s="3">
        <f>SUM(G6:G10)</f>
        <v>16415.86</v>
      </c>
      <c r="H11" s="10">
        <f>G11/1.18</f>
        <v>13911.745762711866</v>
      </c>
      <c r="K11" s="2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1746-841C-4C9D-8ED1-D91A6431AA68}">
  <dimension ref="B4:K9"/>
  <sheetViews>
    <sheetView workbookViewId="0">
      <selection activeCell="B3" sqref="B3:D6"/>
    </sheetView>
  </sheetViews>
  <sheetFormatPr defaultRowHeight="14.4"/>
  <cols>
    <col min="6" max="6" width="16.33203125" customWidth="1"/>
    <col min="10" max="10" width="15" customWidth="1"/>
  </cols>
  <sheetData>
    <row r="4" spans="2:11">
      <c r="B4" s="10" t="s">
        <v>32</v>
      </c>
      <c r="F4" s="10" t="s">
        <v>37</v>
      </c>
      <c r="G4" s="27"/>
    </row>
    <row r="5" spans="2:11">
      <c r="B5" t="s">
        <v>30</v>
      </c>
      <c r="C5">
        <v>375</v>
      </c>
      <c r="D5">
        <v>380</v>
      </c>
      <c r="F5" t="s">
        <v>36</v>
      </c>
      <c r="G5" s="3">
        <v>15887.85</v>
      </c>
      <c r="I5" s="3"/>
      <c r="J5" t="s">
        <v>4</v>
      </c>
      <c r="K5" s="10">
        <v>3232</v>
      </c>
    </row>
    <row r="6" spans="2:11">
      <c r="B6" t="s">
        <v>12</v>
      </c>
      <c r="C6">
        <f>38.27*2</f>
        <v>76.540000000000006</v>
      </c>
      <c r="F6" t="s">
        <v>20</v>
      </c>
      <c r="G6">
        <v>5800</v>
      </c>
      <c r="J6" t="s">
        <v>30</v>
      </c>
      <c r="K6" s="10">
        <f>725-200</f>
        <v>525</v>
      </c>
    </row>
    <row r="7" spans="2:11">
      <c r="F7" s="10"/>
      <c r="J7" t="s">
        <v>12</v>
      </c>
      <c r="K7" s="10">
        <f>53.61*2</f>
        <v>107.22</v>
      </c>
    </row>
    <row r="8" spans="2:11">
      <c r="K8" s="10">
        <f>K6+K5</f>
        <v>3757</v>
      </c>
    </row>
    <row r="9" spans="2:11">
      <c r="G9" s="3">
        <f>SUM(G5:G8)</f>
        <v>21687.85</v>
      </c>
      <c r="H9" s="10">
        <f>G9/1.18</f>
        <v>18379.533898305086</v>
      </c>
      <c r="K9" s="29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3FF7-E38D-48E2-AF9B-D11FA924B1D0}">
  <dimension ref="B5:K10"/>
  <sheetViews>
    <sheetView workbookViewId="0">
      <selection activeCell="H10" sqref="H10"/>
    </sheetView>
  </sheetViews>
  <sheetFormatPr defaultRowHeight="14.4"/>
  <sheetData>
    <row r="5" spans="2:11">
      <c r="B5" s="10" t="s">
        <v>32</v>
      </c>
      <c r="F5" s="10" t="s">
        <v>37</v>
      </c>
      <c r="G5" s="27"/>
    </row>
    <row r="6" spans="2:11">
      <c r="B6" t="s">
        <v>30</v>
      </c>
      <c r="C6">
        <v>325</v>
      </c>
      <c r="D6">
        <v>330</v>
      </c>
      <c r="F6" t="s">
        <v>36</v>
      </c>
      <c r="G6" s="3">
        <v>21821.79</v>
      </c>
      <c r="I6" s="3"/>
      <c r="J6" t="s">
        <v>4</v>
      </c>
      <c r="K6" s="10">
        <v>3861</v>
      </c>
    </row>
    <row r="7" spans="2:11">
      <c r="B7" t="s">
        <v>12</v>
      </c>
      <c r="C7">
        <f>33.17*2</f>
        <v>66.34</v>
      </c>
      <c r="F7" t="s">
        <v>20</v>
      </c>
      <c r="G7" s="30">
        <v>5000</v>
      </c>
      <c r="J7" t="s">
        <v>30</v>
      </c>
      <c r="K7" s="10">
        <f>646.25-200</f>
        <v>446.25</v>
      </c>
    </row>
    <row r="8" spans="2:11">
      <c r="F8" s="10"/>
      <c r="J8" t="s">
        <v>12</v>
      </c>
      <c r="K8" s="10">
        <f>45.56*2</f>
        <v>91.12</v>
      </c>
    </row>
    <row r="9" spans="2:11">
      <c r="K9" s="10">
        <f>K7+K6</f>
        <v>4307.25</v>
      </c>
    </row>
    <row r="10" spans="2:11">
      <c r="G10" s="3">
        <f>SUM(G6:G9)</f>
        <v>26821.79</v>
      </c>
      <c r="H10" s="10">
        <f>G10/1.18</f>
        <v>22730.330508474577</v>
      </c>
      <c r="K10" s="29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237D-6A98-4EDE-B433-D7BBD385B571}">
  <dimension ref="B5:K20"/>
  <sheetViews>
    <sheetView workbookViewId="0">
      <selection activeCell="I11" sqref="I11"/>
    </sheetView>
  </sheetViews>
  <sheetFormatPr defaultRowHeight="14.4"/>
  <cols>
    <col min="5" max="5" width="9.44140625" bestFit="1" customWidth="1"/>
    <col min="6" max="6" width="16.109375" customWidth="1"/>
    <col min="7" max="7" width="14.44140625" customWidth="1"/>
    <col min="8" max="8" width="9.5546875" bestFit="1" customWidth="1"/>
  </cols>
  <sheetData>
    <row r="5" spans="2:11">
      <c r="B5" s="3">
        <v>11493.37</v>
      </c>
    </row>
    <row r="6" spans="2:11">
      <c r="B6" s="10" t="s">
        <v>32</v>
      </c>
      <c r="F6" s="10" t="s">
        <v>37</v>
      </c>
      <c r="G6" s="27"/>
    </row>
    <row r="7" spans="2:11">
      <c r="B7" t="s">
        <v>30</v>
      </c>
      <c r="C7">
        <v>350</v>
      </c>
      <c r="D7" s="10">
        <v>352</v>
      </c>
      <c r="F7" t="s">
        <v>36</v>
      </c>
      <c r="G7" s="3">
        <v>28747.25</v>
      </c>
      <c r="I7" s="3"/>
      <c r="J7" t="s">
        <v>4</v>
      </c>
      <c r="K7" s="10">
        <v>4275</v>
      </c>
    </row>
    <row r="8" spans="2:11">
      <c r="B8" t="s">
        <v>12</v>
      </c>
      <c r="C8">
        <f>35.72*2</f>
        <v>71.44</v>
      </c>
      <c r="F8" t="s">
        <v>20</v>
      </c>
      <c r="G8" s="30"/>
      <c r="J8" t="s">
        <v>30</v>
      </c>
      <c r="K8" s="10">
        <f>710-200</f>
        <v>510</v>
      </c>
    </row>
    <row r="9" spans="2:11">
      <c r="F9" s="10"/>
      <c r="G9">
        <v>6.5</v>
      </c>
      <c r="J9" t="s">
        <v>12</v>
      </c>
      <c r="K9" s="10">
        <f>52.08*2</f>
        <v>104.16</v>
      </c>
    </row>
    <row r="10" spans="2:11">
      <c r="K10" s="10">
        <f>K8+K7</f>
        <v>4785</v>
      </c>
    </row>
    <row r="11" spans="2:11">
      <c r="G11" s="3">
        <f>SUM(G7:G10)</f>
        <v>28753.75</v>
      </c>
      <c r="H11" s="10">
        <f>G11/1.18</f>
        <v>24367.584745762713</v>
      </c>
      <c r="I11">
        <f>H11*0.18-34.48-76.15</f>
        <v>4275.5352542372893</v>
      </c>
      <c r="K11" s="29"/>
    </row>
    <row r="12" spans="2:11">
      <c r="I12" s="10"/>
    </row>
    <row r="19" spans="8:8">
      <c r="H19" s="10"/>
    </row>
    <row r="20" spans="8:8">
      <c r="H20" s="3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F153-6398-4315-AA81-450FC983D32F}">
  <dimension ref="B3:K16"/>
  <sheetViews>
    <sheetView workbookViewId="0">
      <selection activeCell="I9" sqref="I9"/>
    </sheetView>
  </sheetViews>
  <sheetFormatPr defaultRowHeight="14.4"/>
  <cols>
    <col min="2" max="2" width="13.88671875" customWidth="1"/>
    <col min="6" max="6" width="12.5546875" bestFit="1" customWidth="1"/>
  </cols>
  <sheetData>
    <row r="3" spans="2:11">
      <c r="B3" s="3"/>
    </row>
    <row r="4" spans="2:11">
      <c r="B4" s="10" t="s">
        <v>32</v>
      </c>
      <c r="F4" s="10" t="s">
        <v>37</v>
      </c>
      <c r="G4" s="27"/>
    </row>
    <row r="5" spans="2:11">
      <c r="B5" t="s">
        <v>30</v>
      </c>
      <c r="C5">
        <v>350</v>
      </c>
      <c r="D5" s="10"/>
      <c r="F5" t="s">
        <v>36</v>
      </c>
      <c r="G5" s="3">
        <v>33498.35</v>
      </c>
      <c r="I5" s="3"/>
      <c r="J5" t="s">
        <v>4</v>
      </c>
      <c r="K5" s="10">
        <v>6737</v>
      </c>
    </row>
    <row r="6" spans="2:11">
      <c r="B6" t="s">
        <v>12</v>
      </c>
      <c r="C6">
        <f>35.72*2</f>
        <v>71.44</v>
      </c>
      <c r="F6" t="s">
        <v>20</v>
      </c>
      <c r="G6" s="3">
        <f>5000+7000</f>
        <v>12000</v>
      </c>
      <c r="J6" t="s">
        <v>30</v>
      </c>
      <c r="K6" s="10">
        <f>1472.75-200</f>
        <v>1272.75</v>
      </c>
    </row>
    <row r="7" spans="2:11">
      <c r="F7" s="10"/>
      <c r="G7">
        <v>71.5</v>
      </c>
      <c r="J7" t="s">
        <v>12</v>
      </c>
      <c r="K7" s="10">
        <f>109.5*2</f>
        <v>219</v>
      </c>
    </row>
    <row r="8" spans="2:11">
      <c r="K8" s="10">
        <f>K6+K5</f>
        <v>8009.75</v>
      </c>
    </row>
    <row r="9" spans="2:11">
      <c r="G9" s="3">
        <f>SUM(G5:G8)</f>
        <v>45569.85</v>
      </c>
      <c r="H9" s="10">
        <f>G9/1.18</f>
        <v>38618.516949152545</v>
      </c>
      <c r="I9">
        <f>H9*0.18-214.17</f>
        <v>6737.1630508474582</v>
      </c>
      <c r="K9" s="29"/>
    </row>
    <row r="10" spans="2:11">
      <c r="I10" s="10"/>
    </row>
    <row r="13" spans="2:11">
      <c r="B13" t="s">
        <v>42</v>
      </c>
      <c r="C13">
        <f>10735-K8-5</f>
        <v>2720.25</v>
      </c>
    </row>
    <row r="14" spans="2:11">
      <c r="B14" t="s">
        <v>43</v>
      </c>
      <c r="C14">
        <v>1203</v>
      </c>
    </row>
    <row r="15" spans="2:11">
      <c r="B15" t="s">
        <v>44</v>
      </c>
      <c r="C15">
        <f>723-C5-1-C6</f>
        <v>300.56</v>
      </c>
    </row>
    <row r="16" spans="2:11">
      <c r="B16" t="s">
        <v>45</v>
      </c>
      <c r="C16">
        <v>350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AC44-E0E7-4665-93B6-7748A3ABFAB0}">
  <dimension ref="B3:K9"/>
  <sheetViews>
    <sheetView workbookViewId="0">
      <selection activeCell="B2" sqref="B2:K12"/>
    </sheetView>
  </sheetViews>
  <sheetFormatPr defaultRowHeight="14.4"/>
  <cols>
    <col min="6" max="6" width="12.5546875" bestFit="1" customWidth="1"/>
    <col min="10" max="10" width="13.21875" customWidth="1"/>
  </cols>
  <sheetData>
    <row r="3" spans="2:11">
      <c r="B3" s="10" t="s">
        <v>32</v>
      </c>
      <c r="F3" s="10" t="s">
        <v>37</v>
      </c>
      <c r="G3" s="27"/>
    </row>
    <row r="4" spans="2:11">
      <c r="B4" t="s">
        <v>30</v>
      </c>
      <c r="C4">
        <v>350</v>
      </c>
      <c r="D4" s="10">
        <v>355</v>
      </c>
      <c r="F4" t="s">
        <v>36</v>
      </c>
      <c r="G4" s="3">
        <v>26596.65</v>
      </c>
      <c r="I4" s="3"/>
      <c r="J4" t="s">
        <v>4</v>
      </c>
      <c r="K4" s="10">
        <v>3927</v>
      </c>
    </row>
    <row r="5" spans="2:11">
      <c r="B5" t="s">
        <v>12</v>
      </c>
      <c r="C5">
        <f>35.72*2</f>
        <v>71.44</v>
      </c>
      <c r="F5" t="s">
        <v>20</v>
      </c>
      <c r="G5" s="3">
        <v>0</v>
      </c>
      <c r="J5" t="s">
        <v>30</v>
      </c>
      <c r="K5" s="10">
        <v>542.5</v>
      </c>
    </row>
    <row r="6" spans="2:11">
      <c r="F6" s="10"/>
      <c r="G6">
        <v>39</v>
      </c>
      <c r="J6" t="s">
        <v>12</v>
      </c>
      <c r="K6" s="10">
        <f>55.37*2</f>
        <v>110.74</v>
      </c>
    </row>
    <row r="7" spans="2:11">
      <c r="K7" s="10">
        <f>K5+K4</f>
        <v>4469.5</v>
      </c>
    </row>
    <row r="8" spans="2:11">
      <c r="G8" s="3">
        <f>SUM(G4:G7)</f>
        <v>26635.65</v>
      </c>
      <c r="H8" s="10">
        <f>G8/1.18</f>
        <v>22572.584745762713</v>
      </c>
      <c r="I8">
        <f>H8*0.18-59.04-76.15</f>
        <v>3927.8752542372881</v>
      </c>
      <c r="K8" s="29"/>
    </row>
    <row r="9" spans="2:11">
      <c r="G9" s="3"/>
      <c r="H9" s="10"/>
      <c r="I9" s="10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7F99-FB0F-45DC-899D-FD0A8E7FA919}">
  <dimension ref="B3:K15"/>
  <sheetViews>
    <sheetView workbookViewId="0">
      <selection activeCell="K11" sqref="K11"/>
    </sheetView>
  </sheetViews>
  <sheetFormatPr defaultRowHeight="14.4"/>
  <cols>
    <col min="6" max="6" width="19.109375" customWidth="1"/>
    <col min="10" max="10" width="16.44140625" customWidth="1"/>
  </cols>
  <sheetData>
    <row r="3" spans="2:11">
      <c r="B3" s="10" t="s">
        <v>32</v>
      </c>
      <c r="F3" s="10" t="s">
        <v>37</v>
      </c>
      <c r="G3" s="27"/>
      <c r="H3" s="3"/>
    </row>
    <row r="4" spans="2:11">
      <c r="B4" t="s">
        <v>30</v>
      </c>
      <c r="C4">
        <v>475</v>
      </c>
      <c r="D4" s="10">
        <v>485</v>
      </c>
      <c r="F4" t="s">
        <v>36</v>
      </c>
      <c r="G4" s="3">
        <v>21669.57</v>
      </c>
      <c r="H4" s="3"/>
      <c r="I4" s="3"/>
      <c r="J4" t="s">
        <v>4</v>
      </c>
      <c r="K4" s="10">
        <v>4757</v>
      </c>
    </row>
    <row r="5" spans="2:11">
      <c r="B5" t="s">
        <v>12</v>
      </c>
      <c r="C5">
        <f>2*48.47</f>
        <v>96.94</v>
      </c>
      <c r="F5" t="s">
        <v>20</v>
      </c>
      <c r="G5" s="3">
        <f>8000+2700</f>
        <v>10700</v>
      </c>
      <c r="J5" t="s">
        <v>30</v>
      </c>
      <c r="K5" s="10">
        <f>713.75-200</f>
        <v>513.75</v>
      </c>
    </row>
    <row r="6" spans="2:11">
      <c r="F6" s="10"/>
      <c r="J6" t="s">
        <v>12</v>
      </c>
      <c r="K6" s="32">
        <f>52.44*2</f>
        <v>104.88</v>
      </c>
    </row>
    <row r="7" spans="2:11">
      <c r="K7" s="32">
        <f>K5+K4</f>
        <v>5270.75</v>
      </c>
    </row>
    <row r="8" spans="2:11">
      <c r="G8" s="3">
        <f>SUM(G4:G7)</f>
        <v>32369.57</v>
      </c>
      <c r="H8" s="10">
        <f>G8/1.18</f>
        <v>27431.838983050849</v>
      </c>
      <c r="I8">
        <f>H8*0.18-144.24-36.46</f>
        <v>4757.0310169491531</v>
      </c>
      <c r="K8" s="29"/>
    </row>
    <row r="9" spans="2:11">
      <c r="G9" s="3"/>
      <c r="H9" s="10"/>
      <c r="I9" s="10"/>
    </row>
    <row r="13" spans="2:11">
      <c r="J13" t="s">
        <v>42</v>
      </c>
      <c r="K13">
        <f>11668-K7-K6-162</f>
        <v>6130.37</v>
      </c>
    </row>
    <row r="14" spans="2:11">
      <c r="J14" t="s">
        <v>44</v>
      </c>
      <c r="K14">
        <f>448-285-C5</f>
        <v>66.06</v>
      </c>
    </row>
    <row r="15" spans="2:11">
      <c r="J15" t="s">
        <v>45</v>
      </c>
      <c r="K15">
        <f>391-200-69</f>
        <v>122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A077-DBEE-4E82-9287-7211B2105ADE}">
  <dimension ref="B3:L20"/>
  <sheetViews>
    <sheetView workbookViewId="0">
      <selection activeCell="K22" sqref="K22"/>
    </sheetView>
  </sheetViews>
  <sheetFormatPr defaultRowHeight="14.4"/>
  <cols>
    <col min="6" max="6" width="20.21875" customWidth="1"/>
  </cols>
  <sheetData>
    <row r="3" spans="2:11">
      <c r="B3" t="s">
        <v>46</v>
      </c>
      <c r="C3">
        <f>5946.5+2476.5</f>
        <v>8423</v>
      </c>
    </row>
    <row r="4" spans="2:11">
      <c r="B4" s="10" t="s">
        <v>32</v>
      </c>
      <c r="F4" s="10" t="s">
        <v>37</v>
      </c>
      <c r="G4" s="27"/>
    </row>
    <row r="5" spans="2:11">
      <c r="B5" t="s">
        <v>30</v>
      </c>
      <c r="C5">
        <v>225</v>
      </c>
      <c r="D5" s="10"/>
      <c r="F5" t="s">
        <v>36</v>
      </c>
      <c r="G5" s="3">
        <v>35436.730000000003</v>
      </c>
      <c r="I5" s="3"/>
      <c r="J5" t="s">
        <v>4</v>
      </c>
      <c r="K5" s="10">
        <v>5211</v>
      </c>
    </row>
    <row r="6" spans="2:11">
      <c r="B6" t="s">
        <v>12</v>
      </c>
      <c r="C6">
        <f>22.96*2</f>
        <v>45.92</v>
      </c>
      <c r="F6" t="s">
        <v>20</v>
      </c>
      <c r="G6" s="3">
        <v>0</v>
      </c>
      <c r="J6" t="s">
        <v>30</v>
      </c>
      <c r="K6" s="10">
        <f>746.25-200</f>
        <v>546.25</v>
      </c>
    </row>
    <row r="7" spans="2:11">
      <c r="F7" s="10"/>
      <c r="J7" t="s">
        <v>12</v>
      </c>
      <c r="K7" s="32">
        <f>55.76*2</f>
        <v>111.52</v>
      </c>
    </row>
    <row r="8" spans="2:11">
      <c r="K8" s="32">
        <f>K6+K5</f>
        <v>5757.25</v>
      </c>
    </row>
    <row r="9" spans="2:11">
      <c r="G9" s="3">
        <f>SUM(G5:G8)</f>
        <v>35436.730000000003</v>
      </c>
      <c r="H9" s="10">
        <f>G9/1.18</f>
        <v>30031.127118644072</v>
      </c>
      <c r="I9">
        <f>H9*0.18-50.87-143.02</f>
        <v>5211.712881355932</v>
      </c>
      <c r="K9" s="29"/>
    </row>
    <row r="10" spans="2:11">
      <c r="G10" s="3"/>
      <c r="H10" s="10"/>
      <c r="I10" s="10"/>
    </row>
    <row r="17" spans="11:12">
      <c r="K17" t="s">
        <v>45</v>
      </c>
      <c r="L17">
        <v>204</v>
      </c>
    </row>
    <row r="18" spans="11:12">
      <c r="K18" t="s">
        <v>44</v>
      </c>
      <c r="L18">
        <f>802-C5-C6</f>
        <v>531.08000000000004</v>
      </c>
    </row>
    <row r="19" spans="11:12">
      <c r="K19" t="s">
        <v>43</v>
      </c>
      <c r="L19">
        <v>485</v>
      </c>
    </row>
    <row r="20" spans="11:12">
      <c r="K20" t="s">
        <v>42</v>
      </c>
      <c r="L20">
        <f>9074.97-K8-K7</f>
        <v>3206.1999999999994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BFA7-C28F-465A-8E85-8F9BF24E0512}">
  <dimension ref="B3:K19"/>
  <sheetViews>
    <sheetView workbookViewId="0">
      <selection activeCell="B2" sqref="B2:L22"/>
    </sheetView>
  </sheetViews>
  <sheetFormatPr defaultRowHeight="14.4"/>
  <cols>
    <col min="7" max="7" width="19.33203125" customWidth="1"/>
    <col min="11" max="11" width="9.5546875" bestFit="1" customWidth="1"/>
  </cols>
  <sheetData>
    <row r="3" spans="2:11">
      <c r="B3" t="s">
        <v>46</v>
      </c>
      <c r="C3" s="33">
        <v>8955.15</v>
      </c>
    </row>
    <row r="4" spans="2:11">
      <c r="B4" s="10" t="s">
        <v>32</v>
      </c>
      <c r="F4" s="10" t="s">
        <v>37</v>
      </c>
      <c r="G4" s="27"/>
    </row>
    <row r="5" spans="2:11">
      <c r="B5" t="s">
        <v>30</v>
      </c>
      <c r="C5">
        <v>350</v>
      </c>
      <c r="D5" s="10">
        <v>355</v>
      </c>
      <c r="F5" t="s">
        <v>36</v>
      </c>
      <c r="G5" s="3">
        <v>30870.06</v>
      </c>
      <c r="I5" s="3"/>
      <c r="J5" t="s">
        <v>4</v>
      </c>
      <c r="K5" s="10">
        <v>5717</v>
      </c>
    </row>
    <row r="6" spans="2:11">
      <c r="B6" t="s">
        <v>12</v>
      </c>
      <c r="C6">
        <f>35.72*2</f>
        <v>71.44</v>
      </c>
      <c r="F6" t="s">
        <v>20</v>
      </c>
      <c r="G6" s="34">
        <v>8000</v>
      </c>
      <c r="J6" t="s">
        <v>30</v>
      </c>
      <c r="K6" s="10">
        <f>937.5-200</f>
        <v>737.5</v>
      </c>
    </row>
    <row r="7" spans="2:11">
      <c r="F7" s="10"/>
      <c r="J7" t="s">
        <v>12</v>
      </c>
      <c r="K7" s="32">
        <f>75.27*2</f>
        <v>150.54</v>
      </c>
    </row>
    <row r="8" spans="2:11">
      <c r="K8" s="32">
        <f>K6+K5</f>
        <v>6454.5</v>
      </c>
    </row>
    <row r="9" spans="2:11">
      <c r="G9" s="3">
        <f>SUM(G5:G8)</f>
        <v>38870.06</v>
      </c>
      <c r="H9" s="10">
        <f>G9/1.18</f>
        <v>32940.728813559319</v>
      </c>
      <c r="K9" s="29"/>
    </row>
    <row r="10" spans="2:11">
      <c r="G10" s="3"/>
      <c r="H10" s="10"/>
      <c r="I10" s="10"/>
    </row>
    <row r="16" spans="2:11">
      <c r="G16" t="s">
        <v>42</v>
      </c>
      <c r="H16">
        <f>15069-K8-K7</f>
        <v>8463.9599999999991</v>
      </c>
    </row>
    <row r="17" spans="7:8">
      <c r="G17" t="s">
        <v>44</v>
      </c>
      <c r="H17">
        <f>2381-C6-355</f>
        <v>1954.56</v>
      </c>
    </row>
    <row r="18" spans="7:8">
      <c r="G18" t="s">
        <v>43</v>
      </c>
      <c r="H18">
        <v>1426</v>
      </c>
    </row>
    <row r="19" spans="7:8">
      <c r="G19" t="s">
        <v>45</v>
      </c>
      <c r="H19">
        <v>283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1CE4-F603-4A75-ACB6-1318600212A3}">
  <dimension ref="B2:K10"/>
  <sheetViews>
    <sheetView workbookViewId="0">
      <selection activeCell="B2" sqref="B2:L15"/>
    </sheetView>
  </sheetViews>
  <sheetFormatPr defaultRowHeight="14.4"/>
  <cols>
    <col min="2" max="2" width="15" customWidth="1"/>
    <col min="6" max="6" width="19.88671875" customWidth="1"/>
    <col min="10" max="10" width="17.88671875" customWidth="1"/>
  </cols>
  <sheetData>
    <row r="2" spans="2:11">
      <c r="B2" s="35"/>
      <c r="C2" s="35"/>
    </row>
    <row r="3" spans="2:11">
      <c r="B3" s="35" t="s">
        <v>47</v>
      </c>
      <c r="C3" s="35">
        <v>9423</v>
      </c>
    </row>
    <row r="4" spans="2:11">
      <c r="B4" s="10" t="s">
        <v>32</v>
      </c>
      <c r="F4" s="10" t="s">
        <v>37</v>
      </c>
      <c r="G4" s="27"/>
    </row>
    <row r="5" spans="2:11">
      <c r="B5" t="s">
        <v>30</v>
      </c>
      <c r="C5">
        <v>200</v>
      </c>
      <c r="D5" s="10"/>
      <c r="F5" t="s">
        <v>36</v>
      </c>
      <c r="G5" s="3">
        <v>37369.599999999999</v>
      </c>
      <c r="H5" s="27"/>
      <c r="I5" s="3"/>
      <c r="J5" t="s">
        <v>4</v>
      </c>
      <c r="K5" s="10">
        <f>I9</f>
        <v>6102.846949152542</v>
      </c>
    </row>
    <row r="6" spans="2:11">
      <c r="B6" t="s">
        <v>12</v>
      </c>
      <c r="C6">
        <v>40</v>
      </c>
      <c r="F6" t="s">
        <v>20</v>
      </c>
      <c r="G6" s="34">
        <v>4000</v>
      </c>
      <c r="J6" t="s">
        <v>30</v>
      </c>
      <c r="K6" s="10">
        <v>617.5</v>
      </c>
    </row>
    <row r="7" spans="2:11">
      <c r="F7" s="10"/>
      <c r="J7" t="s">
        <v>12</v>
      </c>
      <c r="K7" s="32">
        <f>63*2</f>
        <v>126</v>
      </c>
    </row>
    <row r="8" spans="2:11">
      <c r="K8" s="32">
        <f>K6+K5</f>
        <v>6720.346949152542</v>
      </c>
    </row>
    <row r="9" spans="2:11">
      <c r="G9" s="3">
        <f>SUM(G5:G8)</f>
        <v>41369.599999999999</v>
      </c>
      <c r="H9" s="10">
        <f>G9/1.18</f>
        <v>35058.983050847455</v>
      </c>
      <c r="I9">
        <f>H9*0.18-56.45-75.66*2</f>
        <v>6102.846949152542</v>
      </c>
      <c r="K9" s="29"/>
    </row>
    <row r="10" spans="2:11">
      <c r="G10" s="3"/>
      <c r="H10" s="10"/>
      <c r="I10" s="10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A1F8-E2EA-465E-A5B1-BA7534C41CBE}">
  <dimension ref="B2:N10"/>
  <sheetViews>
    <sheetView workbookViewId="0">
      <selection activeCell="L7" sqref="L7"/>
    </sheetView>
  </sheetViews>
  <sheetFormatPr defaultRowHeight="14.4"/>
  <cols>
    <col min="2" max="2" width="15.21875" bestFit="1" customWidth="1"/>
    <col min="6" max="6" width="22.33203125" customWidth="1"/>
    <col min="13" max="13" width="11.6640625" customWidth="1"/>
  </cols>
  <sheetData>
    <row r="2" spans="2:14">
      <c r="B2" s="35"/>
      <c r="C2" s="35"/>
    </row>
    <row r="3" spans="2:14">
      <c r="B3" s="35" t="s">
        <v>47</v>
      </c>
      <c r="C3" s="36">
        <v>10470.5</v>
      </c>
    </row>
    <row r="4" spans="2:14">
      <c r="B4" s="10" t="s">
        <v>32</v>
      </c>
      <c r="F4" s="10" t="s">
        <v>37</v>
      </c>
      <c r="G4" s="27"/>
    </row>
    <row r="5" spans="2:14">
      <c r="B5" t="s">
        <v>30</v>
      </c>
      <c r="C5">
        <v>375</v>
      </c>
      <c r="D5" s="10">
        <v>380</v>
      </c>
      <c r="F5" t="s">
        <v>36</v>
      </c>
      <c r="G5" s="3">
        <v>32378.28</v>
      </c>
      <c r="H5" s="27"/>
      <c r="I5" s="3"/>
      <c r="J5" t="s">
        <v>4</v>
      </c>
      <c r="K5" s="10">
        <v>4754</v>
      </c>
    </row>
    <row r="6" spans="2:14">
      <c r="B6" t="s">
        <v>12</v>
      </c>
      <c r="C6">
        <f>38.27*2</f>
        <v>76.540000000000006</v>
      </c>
      <c r="E6" s="3"/>
      <c r="F6" t="s">
        <v>48</v>
      </c>
      <c r="G6" s="3">
        <v>6.5</v>
      </c>
      <c r="J6" t="s">
        <v>30</v>
      </c>
      <c r="K6" s="10">
        <f>892.75-200</f>
        <v>692.75</v>
      </c>
      <c r="M6" s="38" t="s">
        <v>49</v>
      </c>
      <c r="N6" s="10" t="s">
        <v>50</v>
      </c>
    </row>
    <row r="7" spans="2:14">
      <c r="F7" s="10"/>
      <c r="J7" t="s">
        <v>12</v>
      </c>
      <c r="K7" s="37">
        <f>70.68*2</f>
        <v>141.36000000000001</v>
      </c>
      <c r="L7" s="32">
        <v>20.6</v>
      </c>
      <c r="M7" s="10">
        <f>20.4+49.62</f>
        <v>70.02</v>
      </c>
      <c r="N7" s="10">
        <f>L7+M7</f>
        <v>90.62</v>
      </c>
    </row>
    <row r="8" spans="2:14">
      <c r="K8" s="32">
        <f>K6+K5</f>
        <v>5446.75</v>
      </c>
    </row>
    <row r="9" spans="2:14">
      <c r="G9" s="3">
        <f>SUM(G5:G8)</f>
        <v>32384.78</v>
      </c>
      <c r="H9" s="10">
        <f>G9/1.18</f>
        <v>27444.728813559323</v>
      </c>
      <c r="I9" s="10">
        <f>H9*0.18-185.67</f>
        <v>4754.381186440678</v>
      </c>
      <c r="K9" s="29"/>
    </row>
    <row r="10" spans="2:14">
      <c r="G10" s="3"/>
      <c r="H10" s="10"/>
      <c r="I10" s="10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691F-F0C4-43BE-BCCC-D3C2D8555530}">
  <dimension ref="B3:K11"/>
  <sheetViews>
    <sheetView workbookViewId="0">
      <selection activeCell="B3" sqref="B3:M14"/>
    </sheetView>
  </sheetViews>
  <sheetFormatPr defaultRowHeight="14.4"/>
  <cols>
    <col min="2" max="2" width="18.33203125" customWidth="1"/>
    <col min="6" max="6" width="15.33203125" customWidth="1"/>
    <col min="10" max="10" width="16" customWidth="1"/>
  </cols>
  <sheetData>
    <row r="3" spans="2:11">
      <c r="B3" s="35"/>
      <c r="C3" s="35"/>
    </row>
    <row r="4" spans="2:11">
      <c r="B4" s="35" t="s">
        <v>47</v>
      </c>
      <c r="C4" s="39">
        <v>6923</v>
      </c>
    </row>
    <row r="5" spans="2:11">
      <c r="B5" s="10" t="s">
        <v>32</v>
      </c>
      <c r="F5" s="10" t="s">
        <v>37</v>
      </c>
      <c r="G5" s="27"/>
    </row>
    <row r="6" spans="2:11">
      <c r="B6" t="s">
        <v>30</v>
      </c>
      <c r="C6">
        <v>375</v>
      </c>
      <c r="D6" s="10"/>
      <c r="F6" t="s">
        <v>36</v>
      </c>
      <c r="G6" s="3">
        <v>23258.74</v>
      </c>
      <c r="H6" s="41"/>
      <c r="I6" s="3"/>
      <c r="J6" t="s">
        <v>4</v>
      </c>
      <c r="K6" s="10">
        <v>4308</v>
      </c>
    </row>
    <row r="7" spans="2:11">
      <c r="E7" s="3"/>
      <c r="F7" t="s">
        <v>51</v>
      </c>
      <c r="G7" s="3">
        <v>58.5</v>
      </c>
      <c r="J7" t="s">
        <v>30</v>
      </c>
      <c r="K7" s="10">
        <f>1044.93-200</f>
        <v>844.93000000000006</v>
      </c>
    </row>
    <row r="8" spans="2:11">
      <c r="F8" s="40" t="s">
        <v>52</v>
      </c>
      <c r="G8">
        <v>6000</v>
      </c>
      <c r="K8" s="37"/>
    </row>
    <row r="9" spans="2:11">
      <c r="K9" s="32">
        <f>K7+K6</f>
        <v>5152.93</v>
      </c>
    </row>
    <row r="10" spans="2:11">
      <c r="G10" s="3">
        <f>SUM(G6:G9)</f>
        <v>29317.24</v>
      </c>
      <c r="H10" s="10">
        <f>G10/1.18</f>
        <v>24845.118644067799</v>
      </c>
      <c r="I10" s="10">
        <f>H10*0.18-163.98</f>
        <v>4308.1413559322045</v>
      </c>
      <c r="K10" s="29"/>
    </row>
    <row r="11" spans="2:11">
      <c r="G11" s="3"/>
      <c r="H11" s="10"/>
      <c r="I11" s="10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C5F0-554C-4A25-8FE9-59414EC0257D}">
  <dimension ref="B4:K12"/>
  <sheetViews>
    <sheetView workbookViewId="0">
      <selection activeCell="K30" sqref="K30"/>
    </sheetView>
  </sheetViews>
  <sheetFormatPr defaultRowHeight="14.4"/>
  <cols>
    <col min="2" max="2" width="20.44140625" customWidth="1"/>
    <col min="6" max="6" width="20.77734375" customWidth="1"/>
    <col min="7" max="7" width="21.44140625" customWidth="1"/>
    <col min="10" max="10" width="18.77734375" customWidth="1"/>
    <col min="11" max="11" width="9.5546875" bestFit="1" customWidth="1"/>
  </cols>
  <sheetData>
    <row r="4" spans="2:11">
      <c r="B4" s="35"/>
      <c r="C4" s="35"/>
    </row>
    <row r="5" spans="2:11">
      <c r="B5" s="35" t="s">
        <v>47</v>
      </c>
      <c r="C5">
        <f>2076.5+4176.5</f>
        <v>6253</v>
      </c>
    </row>
    <row r="6" spans="2:11">
      <c r="B6" s="10" t="s">
        <v>32</v>
      </c>
      <c r="F6" s="10" t="s">
        <v>37</v>
      </c>
      <c r="G6" s="27"/>
    </row>
    <row r="7" spans="2:11">
      <c r="B7" t="s">
        <v>30</v>
      </c>
      <c r="C7">
        <v>350</v>
      </c>
      <c r="D7" s="10">
        <v>357</v>
      </c>
      <c r="F7" t="s">
        <v>36</v>
      </c>
      <c r="G7" s="3">
        <v>28529.79</v>
      </c>
      <c r="H7" s="27"/>
      <c r="I7" s="3"/>
      <c r="J7" t="s">
        <v>4</v>
      </c>
      <c r="K7" s="10">
        <v>5227</v>
      </c>
    </row>
    <row r="8" spans="2:11">
      <c r="E8" s="3"/>
      <c r="F8" s="40" t="s">
        <v>52</v>
      </c>
      <c r="G8">
        <v>7900</v>
      </c>
      <c r="J8" t="s">
        <v>30</v>
      </c>
      <c r="K8" s="10">
        <f>875-200</f>
        <v>675</v>
      </c>
    </row>
    <row r="9" spans="2:11">
      <c r="K9" s="37"/>
    </row>
    <row r="10" spans="2:11">
      <c r="K10" s="32">
        <f>K8+K7</f>
        <v>5902</v>
      </c>
    </row>
    <row r="11" spans="2:11">
      <c r="G11" s="3">
        <f>SUM(G7:G10)</f>
        <v>36429.79</v>
      </c>
      <c r="H11" s="10">
        <f>G11/1.18</f>
        <v>30872.703389830513</v>
      </c>
      <c r="I11" s="10">
        <f>H11*0.18-329.63</f>
        <v>5227.4566101694918</v>
      </c>
      <c r="K11" s="29"/>
    </row>
    <row r="12" spans="2:11">
      <c r="G12" s="3"/>
      <c r="H12" s="10"/>
      <c r="I12" s="10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EB1-E765-45F0-BF13-41D65C6ABC64}">
  <dimension ref="B3:H6"/>
  <sheetViews>
    <sheetView workbookViewId="0">
      <selection activeCell="B3" sqref="B3:I9"/>
    </sheetView>
  </sheetViews>
  <sheetFormatPr defaultRowHeight="14.4"/>
  <cols>
    <col min="2" max="2" width="24.33203125" customWidth="1"/>
  </cols>
  <sheetData>
    <row r="3" spans="2:8">
      <c r="B3" s="10" t="s">
        <v>37</v>
      </c>
      <c r="C3" s="27"/>
    </row>
    <row r="4" spans="2:8">
      <c r="B4" t="s">
        <v>36</v>
      </c>
      <c r="C4" s="3">
        <v>28225.439999999999</v>
      </c>
      <c r="G4" t="s">
        <v>4</v>
      </c>
      <c r="H4">
        <v>5222</v>
      </c>
    </row>
    <row r="5" spans="2:8">
      <c r="B5" s="40" t="s">
        <v>52</v>
      </c>
      <c r="C5" s="34">
        <v>6500</v>
      </c>
      <c r="G5" t="s">
        <v>39</v>
      </c>
      <c r="H5">
        <f>1088.63-200</f>
        <v>888.63000000000011</v>
      </c>
    </row>
    <row r="6" spans="2:8">
      <c r="C6" s="42">
        <f>SUM(C4:C5)</f>
        <v>34725.440000000002</v>
      </c>
      <c r="D6">
        <f>C6/1.18</f>
        <v>29428.338983050849</v>
      </c>
      <c r="E6">
        <f>D6*0.18-75.06</f>
        <v>5222.0410169491524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EFAB-6378-4598-BA85-1DC1B7FE76B8}">
  <dimension ref="B3:I6"/>
  <sheetViews>
    <sheetView workbookViewId="0">
      <selection activeCell="B3" sqref="B3:J7"/>
    </sheetView>
  </sheetViews>
  <sheetFormatPr defaultRowHeight="14.4"/>
  <cols>
    <col min="2" max="2" width="12.5546875" bestFit="1" customWidth="1"/>
    <col min="3" max="3" width="9.109375" bestFit="1" customWidth="1"/>
  </cols>
  <sheetData>
    <row r="3" spans="2:9">
      <c r="B3" s="10" t="s">
        <v>37</v>
      </c>
      <c r="C3" s="27"/>
    </row>
    <row r="4" spans="2:9">
      <c r="B4" t="s">
        <v>36</v>
      </c>
      <c r="C4" s="3">
        <v>38633.71</v>
      </c>
      <c r="H4" t="s">
        <v>4</v>
      </c>
      <c r="I4">
        <f>F6</f>
        <v>6344.1908474576276</v>
      </c>
    </row>
    <row r="5" spans="2:9">
      <c r="B5" s="40" t="s">
        <v>52</v>
      </c>
      <c r="C5" s="34">
        <v>5500</v>
      </c>
      <c r="H5" t="s">
        <v>39</v>
      </c>
      <c r="I5">
        <f>1015.88-200</f>
        <v>815.88</v>
      </c>
    </row>
    <row r="6" spans="2:9">
      <c r="C6" s="42">
        <f>SUM(C4:C5)</f>
        <v>44133.71</v>
      </c>
      <c r="D6">
        <f>C6/1.18</f>
        <v>37401.449152542373</v>
      </c>
      <c r="E6">
        <v>388.07</v>
      </c>
      <c r="F6" s="10">
        <f>D6*0.18-E6</f>
        <v>6344.1908474576276</v>
      </c>
      <c r="I6" s="10">
        <f>SUM(I4:I5)</f>
        <v>7160.0708474576277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06C5-B6FE-4295-B115-0C05C42FE1E7}">
  <dimension ref="B2:I5"/>
  <sheetViews>
    <sheetView topLeftCell="A2" workbookViewId="0">
      <selection activeCell="B2" sqref="B2:I4"/>
    </sheetView>
  </sheetViews>
  <sheetFormatPr defaultRowHeight="14.4"/>
  <cols>
    <col min="2" max="2" width="12.5546875" bestFit="1" customWidth="1"/>
  </cols>
  <sheetData>
    <row r="2" spans="2:9">
      <c r="B2" s="10" t="s">
        <v>37</v>
      </c>
      <c r="C2" s="27"/>
    </row>
    <row r="3" spans="2:9">
      <c r="B3" t="s">
        <v>36</v>
      </c>
      <c r="C3" s="3">
        <v>47473.74</v>
      </c>
      <c r="H3" t="s">
        <v>4</v>
      </c>
      <c r="I3" s="10">
        <v>6994</v>
      </c>
    </row>
    <row r="4" spans="2:9">
      <c r="B4" s="40"/>
      <c r="C4" s="43">
        <f>C3/1.18</f>
        <v>40231.983050847455</v>
      </c>
      <c r="D4">
        <f>C4*0.18</f>
        <v>7241.7569491525419</v>
      </c>
      <c r="E4" s="10">
        <f>D4-247.02</f>
        <v>6994.7369491525415</v>
      </c>
      <c r="H4" t="s">
        <v>39</v>
      </c>
      <c r="I4" s="10">
        <f>956.25-200</f>
        <v>756.25</v>
      </c>
    </row>
    <row r="5" spans="2:9">
      <c r="C5" s="42"/>
      <c r="F5" s="10"/>
      <c r="I5" s="10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5A2E-3E69-4956-9CCC-E6ACAAF2335C}">
  <dimension ref="B3:K9"/>
  <sheetViews>
    <sheetView workbookViewId="0">
      <selection activeCell="B3" sqref="B3:M8"/>
    </sheetView>
  </sheetViews>
  <sheetFormatPr defaultRowHeight="14.4"/>
  <cols>
    <col min="2" max="2" width="18.21875" customWidth="1"/>
  </cols>
  <sheetData>
    <row r="3" spans="2:11">
      <c r="B3" s="10" t="s">
        <v>37</v>
      </c>
      <c r="C3" s="27"/>
    </row>
    <row r="4" spans="2:11">
      <c r="B4" t="s">
        <v>36</v>
      </c>
      <c r="C4" s="3">
        <v>75077.86</v>
      </c>
      <c r="D4" s="3"/>
      <c r="H4" t="s">
        <v>4</v>
      </c>
      <c r="I4" s="10">
        <f>F5</f>
        <v>11168.074915254238</v>
      </c>
      <c r="K4">
        <f>11168</f>
        <v>11168</v>
      </c>
    </row>
    <row r="5" spans="2:11">
      <c r="B5" s="40"/>
      <c r="C5" s="43">
        <f>C4/1.18</f>
        <v>63625.305084745763</v>
      </c>
      <c r="D5">
        <f>C5*0.18</f>
        <v>11452.554915254237</v>
      </c>
      <c r="E5" s="40">
        <f>71.23+213.25</f>
        <v>284.48</v>
      </c>
      <c r="F5" s="10">
        <f>D5-E5</f>
        <v>11168.074915254238</v>
      </c>
      <c r="H5" t="s">
        <v>39</v>
      </c>
      <c r="I5" s="10">
        <f>1125-400</f>
        <v>725</v>
      </c>
      <c r="K5">
        <v>725</v>
      </c>
    </row>
    <row r="6" spans="2:11">
      <c r="I6" s="10">
        <f>SUM(I4:I5)</f>
        <v>11893.074915254238</v>
      </c>
      <c r="K6">
        <f>SUM(K4:K5)</f>
        <v>11893</v>
      </c>
    </row>
    <row r="7" spans="2:11">
      <c r="D7" s="27"/>
    </row>
    <row r="8" spans="2:11">
      <c r="D8" s="44"/>
    </row>
    <row r="9" spans="2:11">
      <c r="D9" s="3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3B69-A6C9-4233-A5CC-7177A6D2D3B8}">
  <dimension ref="B2:K7"/>
  <sheetViews>
    <sheetView workbookViewId="0">
      <selection activeCell="K3" sqref="K3"/>
    </sheetView>
  </sheetViews>
  <sheetFormatPr defaultRowHeight="14.4"/>
  <cols>
    <col min="2" max="2" width="18.33203125" customWidth="1"/>
  </cols>
  <sheetData>
    <row r="2" spans="2:11">
      <c r="B2" s="10" t="s">
        <v>37</v>
      </c>
      <c r="C2" s="27"/>
      <c r="K2" t="s">
        <v>54</v>
      </c>
    </row>
    <row r="3" spans="2:11">
      <c r="B3" t="s">
        <v>36</v>
      </c>
      <c r="C3" s="3">
        <v>36722.58</v>
      </c>
      <c r="D3" s="3"/>
      <c r="E3" s="3"/>
      <c r="H3" t="s">
        <v>4</v>
      </c>
      <c r="I3" s="10">
        <v>4634</v>
      </c>
      <c r="J3">
        <v>4786</v>
      </c>
      <c r="K3" s="10">
        <f>J3-I3</f>
        <v>152</v>
      </c>
    </row>
    <row r="4" spans="2:11">
      <c r="B4" s="40"/>
      <c r="C4" s="43">
        <f>C3/1.18</f>
        <v>31120.830508474581</v>
      </c>
      <c r="D4">
        <f>C4*0.18-966.81</f>
        <v>4634.9394915254252</v>
      </c>
      <c r="E4" s="40"/>
      <c r="F4" s="10"/>
      <c r="H4" t="s">
        <v>39</v>
      </c>
      <c r="I4" s="10">
        <f>1308.16-263.16</f>
        <v>1045</v>
      </c>
    </row>
    <row r="5" spans="2:11">
      <c r="I5" s="10">
        <f>SUM(I3:I4)</f>
        <v>5679</v>
      </c>
    </row>
    <row r="6" spans="2:11">
      <c r="C6" s="27">
        <v>37713.78</v>
      </c>
      <c r="D6" s="27"/>
    </row>
    <row r="7" spans="2:11">
      <c r="C7" s="43">
        <f>C6/1.18</f>
        <v>31960.830508474577</v>
      </c>
      <c r="D7">
        <f>C7*0.18-966.81</f>
        <v>4786.1394915254241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AF0D-28DE-4437-B8A1-9CF66CAA8621}">
  <dimension ref="B3:I5"/>
  <sheetViews>
    <sheetView workbookViewId="0">
      <selection activeCell="B3" sqref="B3:K11"/>
    </sheetView>
  </sheetViews>
  <sheetFormatPr defaultRowHeight="14.4"/>
  <cols>
    <col min="2" max="2" width="12.5546875" bestFit="1" customWidth="1"/>
  </cols>
  <sheetData>
    <row r="3" spans="2:9">
      <c r="B3" t="s">
        <v>36</v>
      </c>
      <c r="C3" s="3">
        <v>31638.91</v>
      </c>
      <c r="D3" s="27"/>
      <c r="G3" t="s">
        <v>4</v>
      </c>
      <c r="H3">
        <v>4770</v>
      </c>
      <c r="I3" s="45" t="s">
        <v>55</v>
      </c>
    </row>
    <row r="4" spans="2:9">
      <c r="B4" t="s">
        <v>53</v>
      </c>
      <c r="C4">
        <v>991.2</v>
      </c>
      <c r="G4" t="s">
        <v>39</v>
      </c>
      <c r="H4">
        <f>730.76-200</f>
        <v>530.76</v>
      </c>
    </row>
    <row r="5" spans="2:9">
      <c r="C5" s="3">
        <f>SUM(C3:C4)</f>
        <v>32630.11</v>
      </c>
      <c r="D5" s="10">
        <f>C5/1.18</f>
        <v>27652.635593220341</v>
      </c>
      <c r="E5">
        <f>42.08+164.56</f>
        <v>206.64</v>
      </c>
      <c r="H5" s="10">
        <f>SUM(H3:H4)</f>
        <v>5300.76</v>
      </c>
      <c r="I5">
        <f>H5+152</f>
        <v>5452.76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5397-B650-4AFD-A8DB-54CEE0F58C91}">
  <dimension ref="C4:J7"/>
  <sheetViews>
    <sheetView workbookViewId="0">
      <selection activeCell="C1" sqref="C1:K13"/>
    </sheetView>
  </sheetViews>
  <sheetFormatPr defaultRowHeight="14.4"/>
  <cols>
    <col min="3" max="3" width="12.5546875" bestFit="1" customWidth="1"/>
  </cols>
  <sheetData>
    <row r="4" spans="3:10">
      <c r="C4" t="s">
        <v>36</v>
      </c>
      <c r="D4" s="3">
        <v>59695.14</v>
      </c>
      <c r="E4" s="27"/>
      <c r="H4" t="s">
        <v>4</v>
      </c>
      <c r="I4">
        <v>8908</v>
      </c>
      <c r="J4" s="45"/>
    </row>
    <row r="5" spans="3:10">
      <c r="H5" t="s">
        <v>39</v>
      </c>
      <c r="I5">
        <f>662.5-200</f>
        <v>462.5</v>
      </c>
    </row>
    <row r="6" spans="3:10">
      <c r="D6" s="3">
        <f>SUM(D4:D5)</f>
        <v>59695.14</v>
      </c>
      <c r="E6" s="10">
        <f>D6/1.18</f>
        <v>50589.101694915254</v>
      </c>
      <c r="F6">
        <f>128.19+69.76</f>
        <v>197.95</v>
      </c>
      <c r="I6" s="10">
        <f>SUM(I4:I5)</f>
        <v>9370.5</v>
      </c>
    </row>
    <row r="7" spans="3:10">
      <c r="E7">
        <f>E6*0.18-F6</f>
        <v>8908.0883050847442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8011-FDE8-4248-B7A2-1A561C5F14C3}">
  <dimension ref="B6:I9"/>
  <sheetViews>
    <sheetView workbookViewId="0">
      <selection activeCell="B6" sqref="B6:H9"/>
    </sheetView>
  </sheetViews>
  <sheetFormatPr defaultRowHeight="14.4"/>
  <cols>
    <col min="2" max="2" width="12.5546875" bestFit="1" customWidth="1"/>
  </cols>
  <sheetData>
    <row r="6" spans="2:9">
      <c r="B6" t="s">
        <v>36</v>
      </c>
      <c r="C6" s="3">
        <v>67054.86</v>
      </c>
      <c r="D6" s="27"/>
      <c r="G6" t="s">
        <v>4</v>
      </c>
      <c r="H6">
        <v>9881</v>
      </c>
      <c r="I6" s="45"/>
    </row>
    <row r="7" spans="2:9">
      <c r="G7" t="s">
        <v>39</v>
      </c>
      <c r="H7">
        <f>1145.75-200</f>
        <v>945.75</v>
      </c>
    </row>
    <row r="8" spans="2:9">
      <c r="C8" s="3">
        <f>SUM(C6:C7)</f>
        <v>67054.86</v>
      </c>
      <c r="D8" s="10">
        <f>C8/1.18</f>
        <v>56826.152542372882</v>
      </c>
      <c r="E8" s="3">
        <f>127.56+219.65</f>
        <v>347.21000000000004</v>
      </c>
      <c r="H8" s="10">
        <f>SUM(H6:H7)</f>
        <v>10826.75</v>
      </c>
    </row>
    <row r="9" spans="2:9">
      <c r="D9">
        <f>D8*0.18-E8</f>
        <v>9881.4974576271197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453E-5F4F-4EC5-B080-12A93AF970FE}">
  <dimension ref="B3:L14"/>
  <sheetViews>
    <sheetView workbookViewId="0">
      <selection activeCell="B3" sqref="B3:M17"/>
    </sheetView>
  </sheetViews>
  <sheetFormatPr defaultRowHeight="14.4"/>
  <cols>
    <col min="2" max="2" width="12.5546875" bestFit="1" customWidth="1"/>
  </cols>
  <sheetData>
    <row r="3" spans="2:12">
      <c r="B3" s="27"/>
      <c r="E3" s="3"/>
    </row>
    <row r="4" spans="2:12">
      <c r="B4" t="s">
        <v>36</v>
      </c>
      <c r="C4" s="3">
        <v>55585.9</v>
      </c>
      <c r="D4" s="27"/>
      <c r="E4" s="3"/>
      <c r="F4" t="s">
        <v>4</v>
      </c>
      <c r="I4">
        <v>8090</v>
      </c>
      <c r="K4" t="s">
        <v>12</v>
      </c>
      <c r="L4">
        <v>193.82</v>
      </c>
    </row>
    <row r="5" spans="2:12">
      <c r="C5">
        <v>7</v>
      </c>
      <c r="F5" t="s">
        <v>39</v>
      </c>
      <c r="I5">
        <f>1349.75-400</f>
        <v>949.75</v>
      </c>
    </row>
    <row r="6" spans="2:12">
      <c r="C6" s="3">
        <f>SUM(C4:C5)</f>
        <v>55592.9</v>
      </c>
      <c r="D6" s="10">
        <f>C6/1.18</f>
        <v>47112.627118644072</v>
      </c>
      <c r="G6" s="10"/>
      <c r="I6">
        <f>SUM(I4:I5)</f>
        <v>9039.75</v>
      </c>
    </row>
    <row r="7" spans="2:12">
      <c r="D7">
        <f>D6*0.18</f>
        <v>8480.2728813559334</v>
      </c>
    </row>
    <row r="8" spans="2:12">
      <c r="D8" s="10">
        <f>D7-228.2-161.77</f>
        <v>8090.3028813559322</v>
      </c>
      <c r="E8" s="46"/>
    </row>
    <row r="12" spans="2:12">
      <c r="D12" s="46">
        <v>228.2</v>
      </c>
    </row>
    <row r="13" spans="2:12">
      <c r="D13" s="46">
        <v>161.77000000000001</v>
      </c>
    </row>
    <row r="14" spans="2:12">
      <c r="D14">
        <f>SUM(D12:D13)</f>
        <v>389.97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BB61-1B61-4B28-8417-E9C3CCE7CA79}">
  <dimension ref="A1:K11"/>
  <sheetViews>
    <sheetView workbookViewId="0">
      <selection activeCell="C4" sqref="C4"/>
    </sheetView>
  </sheetViews>
  <sheetFormatPr defaultRowHeight="14.4"/>
  <cols>
    <col min="1" max="1" width="12.5546875" bestFit="1" customWidth="1"/>
  </cols>
  <sheetData>
    <row r="1" spans="1:11">
      <c r="A1" s="27"/>
      <c r="D1" s="3"/>
    </row>
    <row r="2" spans="1:11">
      <c r="A2" t="s">
        <v>36</v>
      </c>
      <c r="B2" s="27">
        <v>55190.28</v>
      </c>
      <c r="C2" s="27">
        <v>55190.28</v>
      </c>
      <c r="D2" s="3"/>
      <c r="G2" t="s">
        <v>4</v>
      </c>
      <c r="H2">
        <v>8229</v>
      </c>
      <c r="J2" t="s">
        <v>12</v>
      </c>
      <c r="K2" s="46">
        <f>2*74.98</f>
        <v>149.96</v>
      </c>
    </row>
    <row r="3" spans="1:11">
      <c r="G3" t="s">
        <v>39</v>
      </c>
      <c r="H3" s="47">
        <f>934.75-200</f>
        <v>734.75</v>
      </c>
    </row>
    <row r="4" spans="1:11">
      <c r="B4" s="3">
        <f>SUM(B2:B3)</f>
        <v>55190.28</v>
      </c>
      <c r="C4" s="10">
        <f>B4/1.18</f>
        <v>46771.423728813563</v>
      </c>
      <c r="F4" s="10"/>
      <c r="H4">
        <f>SUM(H2:H3)</f>
        <v>8963.75</v>
      </c>
    </row>
    <row r="5" spans="1:11">
      <c r="C5">
        <f>C4*0.18</f>
        <v>8418.8562711864415</v>
      </c>
    </row>
    <row r="6" spans="1:11">
      <c r="C6" s="10">
        <f>C5-4.96-184.28</f>
        <v>8229.6162711864417</v>
      </c>
      <c r="D6" s="46"/>
    </row>
    <row r="7" spans="1:11">
      <c r="C7">
        <f>4.96+184.28</f>
        <v>189.24</v>
      </c>
    </row>
    <row r="10" spans="1:11">
      <c r="C10" s="46"/>
    </row>
    <row r="11" spans="1:11">
      <c r="C11" s="46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B0C6-E610-4A4D-8206-940301FF1261}">
  <dimension ref="A3:G7"/>
  <sheetViews>
    <sheetView workbookViewId="0">
      <selection sqref="A1:G9"/>
    </sheetView>
  </sheetViews>
  <sheetFormatPr defaultRowHeight="14.4"/>
  <cols>
    <col min="1" max="1" width="12.5546875" bestFit="1" customWidth="1"/>
    <col min="2" max="2" width="7.109375" bestFit="1" customWidth="1"/>
  </cols>
  <sheetData>
    <row r="3" spans="1:7">
      <c r="A3" t="s">
        <v>36</v>
      </c>
      <c r="B3" s="27">
        <v>49860.47</v>
      </c>
      <c r="C3">
        <f>B3/1.18</f>
        <v>42254.635593220344</v>
      </c>
      <c r="D3" s="27"/>
      <c r="F3" t="s">
        <v>4</v>
      </c>
      <c r="G3">
        <f>C7</f>
        <v>6868.184406779661</v>
      </c>
    </row>
    <row r="4" spans="1:7">
      <c r="C4">
        <f>C3*0.18</f>
        <v>7605.8344067796615</v>
      </c>
      <c r="F4" t="s">
        <v>39</v>
      </c>
      <c r="G4">
        <f>745.75-200</f>
        <v>545.75</v>
      </c>
    </row>
    <row r="5" spans="1:7">
      <c r="C5" s="48">
        <v>616.84</v>
      </c>
      <c r="D5">
        <f>C5+C6</f>
        <v>737.65000000000009</v>
      </c>
      <c r="G5">
        <f>SUM(G3:G4)</f>
        <v>7413.934406779661</v>
      </c>
    </row>
    <row r="6" spans="1:7">
      <c r="C6" s="48">
        <v>120.81</v>
      </c>
    </row>
    <row r="7" spans="1:7">
      <c r="C7">
        <f>C4-C5-C6</f>
        <v>6868.184406779661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ECB6-861B-40B3-8D0B-7D5ADAEEE2C5}">
  <dimension ref="B3:H9"/>
  <sheetViews>
    <sheetView workbookViewId="0">
      <selection activeCell="B5" sqref="B5:I11"/>
    </sheetView>
  </sheetViews>
  <sheetFormatPr defaultRowHeight="14.4"/>
  <cols>
    <col min="2" max="2" width="16.44140625" customWidth="1"/>
    <col min="7" max="7" width="20.44140625" bestFit="1" customWidth="1"/>
  </cols>
  <sheetData>
    <row r="3" spans="2:8">
      <c r="G3" s="49" t="s">
        <v>56</v>
      </c>
      <c r="H3" s="50">
        <v>94.338979591836704</v>
      </c>
    </row>
    <row r="5" spans="2:8">
      <c r="B5" t="s">
        <v>36</v>
      </c>
      <c r="C5" s="27">
        <v>37115.11</v>
      </c>
      <c r="D5">
        <f>C5/1.18</f>
        <v>31453.483050847459</v>
      </c>
      <c r="G5" t="s">
        <v>4</v>
      </c>
      <c r="H5">
        <v>5171</v>
      </c>
    </row>
    <row r="6" spans="2:8">
      <c r="D6" s="10">
        <f>D5*0.18</f>
        <v>5661.6269491525427</v>
      </c>
      <c r="G6" t="s">
        <v>39</v>
      </c>
      <c r="H6">
        <f>1106.25-200</f>
        <v>906.25</v>
      </c>
    </row>
    <row r="7" spans="2:8">
      <c r="C7" s="27">
        <v>347.73</v>
      </c>
      <c r="D7" s="10"/>
      <c r="H7">
        <f>SUM(H5:H6)</f>
        <v>6077.25</v>
      </c>
    </row>
    <row r="8" spans="2:8">
      <c r="C8">
        <v>142.78</v>
      </c>
    </row>
    <row r="9" spans="2:8">
      <c r="C9" s="42">
        <f>SUM(C7:C8)</f>
        <v>490.51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456A-947E-4C0A-AEC7-F0D220A929E6}">
  <dimension ref="B4:H8"/>
  <sheetViews>
    <sheetView workbookViewId="0">
      <selection activeCell="B2" sqref="B2:K16"/>
    </sheetView>
  </sheetViews>
  <sheetFormatPr defaultRowHeight="14.4"/>
  <cols>
    <col min="2" max="2" width="12.5546875" bestFit="1" customWidth="1"/>
  </cols>
  <sheetData>
    <row r="4" spans="2:8">
      <c r="B4" t="s">
        <v>36</v>
      </c>
      <c r="C4">
        <v>60025.59</v>
      </c>
      <c r="D4">
        <f>C4/1.18</f>
        <v>50869.144067796609</v>
      </c>
      <c r="G4" t="s">
        <v>4</v>
      </c>
      <c r="H4">
        <v>8854</v>
      </c>
    </row>
    <row r="5" spans="2:8">
      <c r="C5">
        <v>141.57</v>
      </c>
      <c r="D5" s="10">
        <f>D4*0.18-C7</f>
        <v>8854.3959322033897</v>
      </c>
      <c r="G5" t="s">
        <v>39</v>
      </c>
      <c r="H5">
        <f>593.75-200</f>
        <v>393.75</v>
      </c>
    </row>
    <row r="6" spans="2:8">
      <c r="C6">
        <v>160.47999999999999</v>
      </c>
      <c r="D6" s="10"/>
      <c r="H6">
        <f>SUM(H4:H5)</f>
        <v>9247.75</v>
      </c>
    </row>
    <row r="7" spans="2:8">
      <c r="C7" s="10">
        <f>C6+C5</f>
        <v>302.04999999999995</v>
      </c>
    </row>
    <row r="8" spans="2:8">
      <c r="C8" s="4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C32F-556A-4928-9A7E-D83AF625EDF9}">
  <dimension ref="A5:W14"/>
  <sheetViews>
    <sheetView workbookViewId="0">
      <selection activeCell="A3" sqref="A3:J11"/>
    </sheetView>
  </sheetViews>
  <sheetFormatPr defaultRowHeight="14.4"/>
  <cols>
    <col min="2" max="2" width="12.5546875" bestFit="1" customWidth="1"/>
  </cols>
  <sheetData>
    <row r="5" spans="1:23">
      <c r="B5" t="s">
        <v>36</v>
      </c>
      <c r="C5" s="3">
        <v>48328.55</v>
      </c>
      <c r="D5" s="10">
        <f>C7/1.18</f>
        <v>41041.144067796617</v>
      </c>
      <c r="G5" t="s">
        <v>4</v>
      </c>
      <c r="H5">
        <v>6224</v>
      </c>
    </row>
    <row r="6" spans="1:23">
      <c r="C6">
        <v>100</v>
      </c>
      <c r="D6" s="10">
        <f>D5*0.18-C9</f>
        <v>6224.5459322033912</v>
      </c>
      <c r="G6" t="s">
        <v>39</v>
      </c>
      <c r="H6">
        <f>956.25-200</f>
        <v>756.25</v>
      </c>
    </row>
    <row r="7" spans="1:23">
      <c r="C7" s="3">
        <f>SUM(C5:C6)</f>
        <v>48428.55</v>
      </c>
      <c r="D7" s="10"/>
      <c r="H7">
        <f>SUM(H5:H6)</f>
        <v>6980.25</v>
      </c>
    </row>
    <row r="8" spans="1:23">
      <c r="C8" s="10"/>
    </row>
    <row r="9" spans="1:23">
      <c r="C9" s="46">
        <f>107.39+1055.47</f>
        <v>1162.8600000000001</v>
      </c>
    </row>
    <row r="14" spans="1:23" s="54" customFormat="1">
      <c r="A14" s="51">
        <v>45954</v>
      </c>
      <c r="B14" s="52" t="s">
        <v>57</v>
      </c>
      <c r="C14" s="52" t="s">
        <v>58</v>
      </c>
      <c r="D14" s="53" t="s">
        <v>59</v>
      </c>
      <c r="E14" s="53">
        <v>300</v>
      </c>
      <c r="F14" s="53">
        <v>19076.419999999998</v>
      </c>
      <c r="G14" s="52" t="s">
        <v>60</v>
      </c>
      <c r="H14" s="51">
        <v>45954</v>
      </c>
      <c r="I14" s="52">
        <v>1761253564</v>
      </c>
      <c r="J14" s="52" t="s">
        <v>61</v>
      </c>
      <c r="K14" s="52" t="s">
        <v>62</v>
      </c>
      <c r="L14" s="52" t="s">
        <v>63</v>
      </c>
      <c r="M14" s="52" t="s">
        <v>64</v>
      </c>
      <c r="N14" s="52" t="s">
        <v>65</v>
      </c>
      <c r="O14" s="52"/>
      <c r="P14" s="52"/>
      <c r="Q14" s="52"/>
      <c r="R14" s="52" t="s">
        <v>63</v>
      </c>
      <c r="S14" s="52" t="s">
        <v>62</v>
      </c>
      <c r="T14" s="52" t="s">
        <v>59</v>
      </c>
      <c r="U14" s="52" t="s">
        <v>66</v>
      </c>
      <c r="V14" s="52"/>
      <c r="W14" s="52">
        <v>17540968882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FB0A-B0D0-49B3-BAC0-5FF66FC7D6BF}">
  <dimension ref="B5:H10"/>
  <sheetViews>
    <sheetView workbookViewId="0">
      <selection activeCell="J8" sqref="J8"/>
    </sheetView>
  </sheetViews>
  <sheetFormatPr defaultRowHeight="14.4"/>
  <cols>
    <col min="2" max="2" width="12.5546875" bestFit="1" customWidth="1"/>
  </cols>
  <sheetData>
    <row r="5" spans="2:8">
      <c r="B5" t="s">
        <v>36</v>
      </c>
      <c r="C5" s="3">
        <v>46918.17</v>
      </c>
      <c r="D5" s="10">
        <f>C5/1.18</f>
        <v>39761.161016949154</v>
      </c>
      <c r="G5" t="s">
        <v>4</v>
      </c>
      <c r="H5">
        <v>6268</v>
      </c>
    </row>
    <row r="6" spans="2:8">
      <c r="D6" s="10"/>
      <c r="G6" t="s">
        <v>39</v>
      </c>
      <c r="H6">
        <f>650-200</f>
        <v>450</v>
      </c>
    </row>
    <row r="7" spans="2:8">
      <c r="C7" s="3"/>
      <c r="D7" s="46">
        <v>699.78</v>
      </c>
      <c r="H7">
        <f>SUM(H5:H6)</f>
        <v>6718</v>
      </c>
    </row>
    <row r="8" spans="2:8">
      <c r="C8" s="10"/>
      <c r="D8" s="46">
        <v>188.24</v>
      </c>
    </row>
    <row r="9" spans="2:8">
      <c r="C9" s="46"/>
      <c r="D9">
        <f>SUM(D7:D8)</f>
        <v>888.02</v>
      </c>
    </row>
    <row r="10" spans="2:8">
      <c r="D10">
        <f>D5*0.18-D9</f>
        <v>6268.9889830508473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A958-7698-4EC5-A1DA-572B3F605E1E}">
  <dimension ref="B6:J20"/>
  <sheetViews>
    <sheetView workbookViewId="0">
      <selection activeCell="S29" sqref="S29"/>
    </sheetView>
  </sheetViews>
  <sheetFormatPr defaultRowHeight="14.4"/>
  <cols>
    <col min="2" max="2" width="12.5546875" bestFit="1" customWidth="1"/>
    <col min="3" max="3" width="10" bestFit="1" customWidth="1"/>
    <col min="7" max="7" width="10.21875" bestFit="1" customWidth="1"/>
  </cols>
  <sheetData>
    <row r="6" spans="2:10">
      <c r="B6" t="s">
        <v>36</v>
      </c>
      <c r="C6" s="3">
        <v>102693.2</v>
      </c>
      <c r="D6" s="10">
        <f>C6/1.18</f>
        <v>87028.135593220344</v>
      </c>
      <c r="E6">
        <f>D6*0.18</f>
        <v>15665.064406779662</v>
      </c>
      <c r="G6" t="s">
        <v>4</v>
      </c>
      <c r="H6">
        <v>15290</v>
      </c>
      <c r="J6" s="10">
        <v>1300.31</v>
      </c>
    </row>
    <row r="7" spans="2:10">
      <c r="D7" s="10">
        <f>212.95+161.75</f>
        <v>374.7</v>
      </c>
      <c r="E7">
        <f>E6-D7</f>
        <v>15290.364406779661</v>
      </c>
      <c r="G7" t="s">
        <v>39</v>
      </c>
      <c r="H7">
        <f>2091.78-400</f>
        <v>1691.7800000000002</v>
      </c>
    </row>
    <row r="8" spans="2:10">
      <c r="C8" s="3"/>
      <c r="D8" s="46"/>
      <c r="G8" t="s">
        <v>67</v>
      </c>
      <c r="H8">
        <v>2507.7399999999998</v>
      </c>
      <c r="J8">
        <f>184.21*2</f>
        <v>368.42</v>
      </c>
    </row>
    <row r="9" spans="2:10">
      <c r="C9" s="10"/>
      <c r="D9" s="46"/>
      <c r="H9" s="10">
        <f>H6+H7+H8</f>
        <v>19489.519999999997</v>
      </c>
      <c r="J9">
        <f>H9+J6</f>
        <v>20789.829999999998</v>
      </c>
    </row>
    <row r="10" spans="2:10">
      <c r="C10" s="46"/>
      <c r="J10" s="10">
        <f>SUM(J8:J9)</f>
        <v>21158.249999999996</v>
      </c>
    </row>
    <row r="11" spans="2:10">
      <c r="G11" t="s">
        <v>68</v>
      </c>
      <c r="H11">
        <v>100</v>
      </c>
    </row>
    <row r="17" spans="10:10">
      <c r="J17">
        <v>15290</v>
      </c>
    </row>
    <row r="18" spans="10:10">
      <c r="J18">
        <v>2060.1999999999998</v>
      </c>
    </row>
    <row r="19" spans="10:10">
      <c r="J19">
        <v>3808.05</v>
      </c>
    </row>
    <row r="20" spans="10:10">
      <c r="J20">
        <f>SUM(J17:J19)</f>
        <v>21158.25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A29A-A559-4CD8-AF0A-D8EC3C0A60AC}">
  <dimension ref="B4:J10"/>
  <sheetViews>
    <sheetView workbookViewId="0">
      <selection activeCell="B1" sqref="B1:J19"/>
    </sheetView>
  </sheetViews>
  <sheetFormatPr defaultRowHeight="14.4"/>
  <cols>
    <col min="2" max="2" width="20.44140625" customWidth="1"/>
    <col min="3" max="3" width="10" bestFit="1" customWidth="1"/>
    <col min="5" max="5" width="9.109375" bestFit="1" customWidth="1"/>
    <col min="7" max="7" width="14.5546875" customWidth="1"/>
  </cols>
  <sheetData>
    <row r="4" spans="2:10">
      <c r="C4" s="27">
        <v>65167.78</v>
      </c>
    </row>
    <row r="5" spans="2:10">
      <c r="B5" t="s">
        <v>36</v>
      </c>
      <c r="C5" s="40">
        <v>65167.78</v>
      </c>
      <c r="D5" s="10">
        <f>C5/1.18</f>
        <v>55226.932203389835</v>
      </c>
      <c r="E5" s="4">
        <f>D5*0.18</f>
        <v>9940.8477966101691</v>
      </c>
      <c r="G5" t="s">
        <v>4</v>
      </c>
      <c r="H5" s="10">
        <v>9563</v>
      </c>
      <c r="J5" s="10"/>
    </row>
    <row r="6" spans="2:10">
      <c r="D6" s="10"/>
      <c r="E6" s="9">
        <f>E5-C9</f>
        <v>9563.2977966101698</v>
      </c>
      <c r="G6" t="s">
        <v>39</v>
      </c>
      <c r="H6" s="10">
        <v>1572.19</v>
      </c>
    </row>
    <row r="7" spans="2:10">
      <c r="C7" s="46"/>
      <c r="D7" s="46"/>
      <c r="G7" t="s">
        <v>67</v>
      </c>
      <c r="H7" s="10">
        <v>1857.59</v>
      </c>
    </row>
    <row r="8" spans="2:10">
      <c r="C8" s="46"/>
      <c r="D8" s="46"/>
      <c r="H8" s="10">
        <f>SUM(H5:H7)</f>
        <v>12992.78</v>
      </c>
    </row>
    <row r="9" spans="2:10">
      <c r="C9" s="46">
        <v>377.55</v>
      </c>
      <c r="J9" s="10"/>
    </row>
    <row r="10" spans="2:10">
      <c r="G10" t="s">
        <v>68</v>
      </c>
      <c r="H10" s="10">
        <v>225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E9B3-B742-47DA-B1EA-7887E22E2CED}">
  <dimension ref="B4:J11"/>
  <sheetViews>
    <sheetView workbookViewId="0">
      <selection activeCell="B4" sqref="B4:H15"/>
    </sheetView>
  </sheetViews>
  <sheetFormatPr defaultRowHeight="14.4"/>
  <cols>
    <col min="2" max="2" width="12.5546875" bestFit="1" customWidth="1"/>
    <col min="3" max="3" width="9" bestFit="1" customWidth="1"/>
    <col min="4" max="4" width="11" bestFit="1" customWidth="1"/>
    <col min="5" max="5" width="9.109375" bestFit="1" customWidth="1"/>
    <col min="7" max="7" width="10.21875" bestFit="1" customWidth="1"/>
    <col min="8" max="8" width="9.44140625" style="4" bestFit="1" customWidth="1"/>
  </cols>
  <sheetData>
    <row r="4" spans="2:10">
      <c r="C4" s="27"/>
    </row>
    <row r="5" spans="2:10">
      <c r="B5" t="s">
        <v>36</v>
      </c>
      <c r="C5" s="55">
        <v>56953.760000000002</v>
      </c>
      <c r="D5" s="10">
        <f>C5/1.18</f>
        <v>48265.898305084753</v>
      </c>
      <c r="E5" s="4">
        <f>D5*0.18</f>
        <v>8687.8616949152547</v>
      </c>
      <c r="G5" t="s">
        <v>4</v>
      </c>
      <c r="H5" s="5">
        <v>8444</v>
      </c>
      <c r="J5" s="10"/>
    </row>
    <row r="6" spans="2:10">
      <c r="D6" s="10"/>
      <c r="E6" s="9">
        <f>E5-C9</f>
        <v>8444.3616949152547</v>
      </c>
      <c r="G6" t="s">
        <v>39</v>
      </c>
      <c r="H6" s="5">
        <f>841.82-200</f>
        <v>641.82000000000005</v>
      </c>
    </row>
    <row r="7" spans="2:10">
      <c r="C7" s="46"/>
      <c r="D7" s="46"/>
      <c r="G7" t="s">
        <v>67</v>
      </c>
      <c r="H7" s="5">
        <v>0</v>
      </c>
    </row>
    <row r="8" spans="2:10">
      <c r="C8" s="46"/>
      <c r="D8" s="46"/>
      <c r="H8" s="5">
        <f>SUM(H5:H7)</f>
        <v>9085.82</v>
      </c>
    </row>
    <row r="9" spans="2:10">
      <c r="C9" s="55">
        <f>140.76+102.74</f>
        <v>243.5</v>
      </c>
      <c r="J9" s="10"/>
    </row>
    <row r="10" spans="2:10">
      <c r="G10" t="s">
        <v>68</v>
      </c>
      <c r="H10" s="5">
        <v>350</v>
      </c>
    </row>
    <row r="11" spans="2:10">
      <c r="C11" s="48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71B6-BED3-4EA6-B1B6-1962D280C560}">
  <dimension ref="B5:H16"/>
  <sheetViews>
    <sheetView workbookViewId="0">
      <selection activeCell="B6" sqref="B6:I14"/>
    </sheetView>
  </sheetViews>
  <sheetFormatPr defaultRowHeight="14.4"/>
  <cols>
    <col min="2" max="2" width="12.5546875" bestFit="1" customWidth="1"/>
    <col min="5" max="5" width="10.109375" bestFit="1" customWidth="1"/>
    <col min="8" max="8" width="10.44140625" bestFit="1" customWidth="1"/>
  </cols>
  <sheetData>
    <row r="5" spans="2:8">
      <c r="C5" s="27"/>
      <c r="H5" s="4"/>
    </row>
    <row r="6" spans="2:8">
      <c r="B6" t="s">
        <v>36</v>
      </c>
      <c r="C6" s="55">
        <v>80682.94</v>
      </c>
      <c r="D6" s="10">
        <f>C6/1.18</f>
        <v>68375.372881355943</v>
      </c>
      <c r="E6" s="4">
        <f>D6*0.18</f>
        <v>12307.567118644069</v>
      </c>
      <c r="G6" t="s">
        <v>4</v>
      </c>
      <c r="H6" s="5">
        <v>11996</v>
      </c>
    </row>
    <row r="7" spans="2:8">
      <c r="D7" s="10"/>
      <c r="E7" s="9">
        <f>E6-C10</f>
        <v>11996.047118644068</v>
      </c>
      <c r="G7" t="s">
        <v>39</v>
      </c>
      <c r="H7" s="5"/>
    </row>
    <row r="8" spans="2:8">
      <c r="C8" s="46">
        <v>128.1</v>
      </c>
      <c r="D8" s="46"/>
      <c r="G8" t="s">
        <v>67</v>
      </c>
      <c r="H8" s="5"/>
    </row>
    <row r="9" spans="2:8">
      <c r="C9" s="46">
        <v>183.42</v>
      </c>
      <c r="D9" s="46"/>
      <c r="H9" s="5">
        <f>SUM(H6:H8)</f>
        <v>11996</v>
      </c>
    </row>
    <row r="10" spans="2:8">
      <c r="C10" s="55">
        <f>SUM(C8:C9)</f>
        <v>311.52</v>
      </c>
      <c r="H10" s="4"/>
    </row>
    <row r="11" spans="2:8">
      <c r="G11" t="s">
        <v>68</v>
      </c>
      <c r="H11" s="5">
        <v>475</v>
      </c>
    </row>
    <row r="12" spans="2:8">
      <c r="C12" s="48"/>
      <c r="H12" s="4"/>
    </row>
    <row r="13" spans="2:8">
      <c r="H13" s="4"/>
    </row>
    <row r="14" spans="2:8">
      <c r="H14" s="4"/>
    </row>
    <row r="15" spans="2:8">
      <c r="H15" s="4"/>
    </row>
    <row r="16" spans="2:8">
      <c r="H16" s="4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DE51-7907-45FE-BE92-51032B935060}">
  <dimension ref="B5:I13"/>
  <sheetViews>
    <sheetView workbookViewId="0">
      <selection activeCell="B4" sqref="B4:J15"/>
    </sheetView>
  </sheetViews>
  <sheetFormatPr defaultRowHeight="14.4"/>
  <cols>
    <col min="2" max="2" width="12.5546875" bestFit="1" customWidth="1"/>
    <col min="3" max="3" width="10.109375" bestFit="1" customWidth="1"/>
    <col min="4" max="4" width="10.44140625" bestFit="1" customWidth="1"/>
    <col min="5" max="5" width="10.21875" bestFit="1" customWidth="1"/>
    <col min="7" max="7" width="10.21875" bestFit="1" customWidth="1"/>
    <col min="8" max="8" width="10.44140625" bestFit="1" customWidth="1"/>
  </cols>
  <sheetData>
    <row r="5" spans="2:9">
      <c r="B5" s="4" t="s">
        <v>36</v>
      </c>
      <c r="C5" s="4">
        <v>63337.37</v>
      </c>
      <c r="D5" s="5">
        <f>C5/1.18</f>
        <v>53675.737288135599</v>
      </c>
      <c r="E5" s="4">
        <f>D5*0.18</f>
        <v>9661.6327118644076</v>
      </c>
      <c r="G5" t="s">
        <v>4</v>
      </c>
      <c r="H5" s="5">
        <v>9333</v>
      </c>
    </row>
    <row r="6" spans="2:9">
      <c r="B6" s="4"/>
      <c r="C6" s="4"/>
      <c r="D6" s="5"/>
      <c r="E6" s="4">
        <f>E5-C9</f>
        <v>9333.902711864408</v>
      </c>
      <c r="G6" t="s">
        <v>39</v>
      </c>
      <c r="H6" s="5">
        <v>1000</v>
      </c>
    </row>
    <row r="7" spans="2:9">
      <c r="B7" s="4"/>
      <c r="C7" s="4">
        <v>135.80000000000001</v>
      </c>
      <c r="D7" s="56"/>
      <c r="E7" s="4"/>
      <c r="G7" t="s">
        <v>67</v>
      </c>
      <c r="H7" s="5">
        <v>0</v>
      </c>
    </row>
    <row r="8" spans="2:9">
      <c r="B8" s="4"/>
      <c r="C8" s="4">
        <v>191.93</v>
      </c>
      <c r="D8" s="56"/>
      <c r="E8" s="4"/>
      <c r="H8" s="57">
        <f>SUM(H5:H7)</f>
        <v>10333</v>
      </c>
    </row>
    <row r="9" spans="2:9">
      <c r="B9" s="4"/>
      <c r="C9" s="4">
        <f>SUM(C7:C8)</f>
        <v>327.73</v>
      </c>
      <c r="D9" s="4"/>
      <c r="E9" s="4"/>
      <c r="H9" s="4"/>
    </row>
    <row r="10" spans="2:9">
      <c r="G10" s="24" t="s">
        <v>68</v>
      </c>
      <c r="H10" s="57">
        <v>275</v>
      </c>
      <c r="I10" s="9"/>
    </row>
    <row r="11" spans="2:9">
      <c r="C11" s="48"/>
      <c r="H11" s="4"/>
    </row>
    <row r="12" spans="2:9">
      <c r="H12" s="4"/>
    </row>
    <row r="13" spans="2:9">
      <c r="H13" s="4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0BCA-104F-4991-A600-861B38927D21}">
  <dimension ref="B5:I15"/>
  <sheetViews>
    <sheetView workbookViewId="0">
      <selection activeCell="B4" sqref="B4:I15"/>
    </sheetView>
  </sheetViews>
  <sheetFormatPr defaultRowHeight="14.4"/>
  <cols>
    <col min="2" max="2" width="13.77734375" bestFit="1" customWidth="1"/>
    <col min="3" max="3" width="10.109375" bestFit="1" customWidth="1"/>
    <col min="4" max="4" width="10.44140625" bestFit="1" customWidth="1"/>
    <col min="5" max="5" width="10.109375" bestFit="1" customWidth="1"/>
    <col min="7" max="7" width="16.6640625" customWidth="1"/>
    <col min="8" max="8" width="10.44140625" bestFit="1" customWidth="1"/>
  </cols>
  <sheetData>
    <row r="5" spans="2:9">
      <c r="B5" s="4" t="s">
        <v>36</v>
      </c>
      <c r="C5" s="4">
        <v>78442.710000000006</v>
      </c>
      <c r="D5" s="5">
        <f>C5/1.18</f>
        <v>66476.872881355943</v>
      </c>
      <c r="E5" s="4">
        <f>D5*0.18</f>
        <v>11965.837118644069</v>
      </c>
      <c r="G5" t="s">
        <v>4</v>
      </c>
      <c r="H5" s="5">
        <f>E6-0.99</f>
        <v>11571.997118644069</v>
      </c>
    </row>
    <row r="6" spans="2:9">
      <c r="B6" s="4"/>
      <c r="C6" s="4"/>
      <c r="D6" s="5"/>
      <c r="E6" s="4">
        <f>E5-C9</f>
        <v>11572.987118644069</v>
      </c>
      <c r="G6" t="s">
        <v>39</v>
      </c>
      <c r="H6" s="5">
        <v>1964.47</v>
      </c>
    </row>
    <row r="7" spans="2:9">
      <c r="B7" s="4"/>
      <c r="C7" s="4">
        <v>195.43</v>
      </c>
      <c r="D7" s="56"/>
      <c r="E7" s="4"/>
      <c r="G7" t="s">
        <v>67</v>
      </c>
      <c r="H7" s="5">
        <v>2786.38</v>
      </c>
    </row>
    <row r="8" spans="2:9">
      <c r="B8" s="4"/>
      <c r="C8" s="4">
        <v>197.42</v>
      </c>
      <c r="D8" s="56"/>
      <c r="E8" s="4"/>
      <c r="H8" s="58">
        <f>SUM(H5:H7)</f>
        <v>16322.847118644069</v>
      </c>
    </row>
    <row r="9" spans="2:9">
      <c r="B9" s="4"/>
      <c r="C9" s="5">
        <f>SUM(C7:C8)</f>
        <v>392.85</v>
      </c>
      <c r="D9" s="4"/>
      <c r="E9" s="4"/>
      <c r="H9" s="59"/>
    </row>
    <row r="10" spans="2:9">
      <c r="G10" s="25" t="s">
        <v>68</v>
      </c>
      <c r="H10" s="58">
        <v>254</v>
      </c>
      <c r="I10" s="9"/>
    </row>
    <row r="11" spans="2:9">
      <c r="C11" s="48"/>
      <c r="H11" s="59"/>
    </row>
    <row r="12" spans="2:9">
      <c r="H12" s="59"/>
    </row>
    <row r="13" spans="2:9">
      <c r="H13" s="59"/>
    </row>
    <row r="14" spans="2:9">
      <c r="H14" s="25"/>
    </row>
    <row r="15" spans="2:9">
      <c r="H15" s="25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AD3D-9237-4918-A172-0004673ABC91}">
  <dimension ref="B5:J15"/>
  <sheetViews>
    <sheetView workbookViewId="0">
      <selection activeCell="B2" sqref="B2:K18"/>
    </sheetView>
  </sheetViews>
  <sheetFormatPr defaultRowHeight="14.4"/>
  <cols>
    <col min="2" max="2" width="13.77734375" bestFit="1" customWidth="1"/>
    <col min="3" max="3" width="10.109375" bestFit="1" customWidth="1"/>
    <col min="4" max="4" width="10.44140625" bestFit="1" customWidth="1"/>
    <col min="5" max="5" width="10.109375" bestFit="1" customWidth="1"/>
    <col min="7" max="7" width="10.21875" bestFit="1" customWidth="1"/>
    <col min="8" max="8" width="10.44140625" bestFit="1" customWidth="1"/>
  </cols>
  <sheetData>
    <row r="5" spans="2:10">
      <c r="B5" s="4" t="s">
        <v>36</v>
      </c>
      <c r="C5" s="4">
        <v>86637.01</v>
      </c>
      <c r="D5" s="5">
        <f>C5/1.18</f>
        <v>73421.194915254237</v>
      </c>
      <c r="E5" s="4">
        <f>D5*0.18</f>
        <v>13215.815084745762</v>
      </c>
      <c r="G5" t="s">
        <v>4</v>
      </c>
      <c r="H5" s="4">
        <v>12687</v>
      </c>
    </row>
    <row r="6" spans="2:10">
      <c r="B6" s="4"/>
      <c r="C6" s="4"/>
      <c r="D6" s="5"/>
      <c r="E6" s="4">
        <f>E5-C9</f>
        <v>12687.285084745761</v>
      </c>
      <c r="G6" t="s">
        <v>39</v>
      </c>
      <c r="H6" s="5">
        <f>1637.82-200</f>
        <v>1437.82</v>
      </c>
    </row>
    <row r="7" spans="2:10">
      <c r="B7" s="4"/>
      <c r="C7" s="4">
        <v>244.35</v>
      </c>
      <c r="D7" s="56"/>
      <c r="E7" s="4"/>
      <c r="G7" t="s">
        <v>67</v>
      </c>
      <c r="H7" s="5">
        <v>0</v>
      </c>
    </row>
    <row r="8" spans="2:10">
      <c r="B8" s="4"/>
      <c r="C8" s="4">
        <v>284.18</v>
      </c>
      <c r="D8" s="56"/>
      <c r="E8" s="4"/>
      <c r="H8" s="58">
        <f>SUM(H5:H7)</f>
        <v>14124.82</v>
      </c>
      <c r="I8">
        <v>14124.82</v>
      </c>
      <c r="J8" s="9">
        <f>I8-H8</f>
        <v>0</v>
      </c>
    </row>
    <row r="9" spans="2:10">
      <c r="B9" s="4"/>
      <c r="C9" s="5">
        <f>SUM(C7:C8)</f>
        <v>528.53</v>
      </c>
      <c r="D9" s="4"/>
      <c r="E9" s="4"/>
      <c r="H9" s="59"/>
    </row>
    <row r="10" spans="2:10">
      <c r="G10" s="25" t="s">
        <v>68</v>
      </c>
      <c r="H10" s="58">
        <v>200</v>
      </c>
      <c r="I10" s="9"/>
    </row>
    <row r="11" spans="2:10">
      <c r="C11" s="48"/>
      <c r="H11" s="59"/>
    </row>
    <row r="12" spans="2:10">
      <c r="H12" s="59"/>
    </row>
    <row r="13" spans="2:10">
      <c r="H13" s="59"/>
    </row>
    <row r="14" spans="2:10">
      <c r="H14" s="25"/>
    </row>
    <row r="15" spans="2:10">
      <c r="H15" s="25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48A0-1FED-4D18-85F7-C5EA58116720}">
  <dimension ref="B5:J15"/>
  <sheetViews>
    <sheetView tabSelected="1" workbookViewId="0">
      <selection activeCell="M13" sqref="M13"/>
    </sheetView>
  </sheetViews>
  <sheetFormatPr defaultRowHeight="14.4"/>
  <cols>
    <col min="2" max="2" width="13.77734375" bestFit="1" customWidth="1"/>
    <col min="3" max="3" width="10.109375" bestFit="1" customWidth="1"/>
    <col min="4" max="4" width="10.44140625" bestFit="1" customWidth="1"/>
    <col min="5" max="5" width="10.109375" bestFit="1" customWidth="1"/>
    <col min="7" max="7" width="10.21875" bestFit="1" customWidth="1"/>
    <col min="8" max="8" width="10.44140625" bestFit="1" customWidth="1"/>
    <col min="10" max="10" width="10.109375" bestFit="1" customWidth="1"/>
  </cols>
  <sheetData>
    <row r="5" spans="2:10">
      <c r="B5" s="4" t="s">
        <v>36</v>
      </c>
      <c r="C5" s="4"/>
      <c r="D5" s="5">
        <f>C5/1.18</f>
        <v>0</v>
      </c>
      <c r="E5" s="4">
        <f>D5*0.18</f>
        <v>0</v>
      </c>
      <c r="G5" t="s">
        <v>4</v>
      </c>
      <c r="H5" s="4"/>
    </row>
    <row r="6" spans="2:10">
      <c r="B6" s="4"/>
      <c r="C6" s="4"/>
      <c r="D6" s="5"/>
      <c r="E6" s="4">
        <f>E5-C9</f>
        <v>-197.29</v>
      </c>
      <c r="G6" t="s">
        <v>39</v>
      </c>
      <c r="H6" s="5"/>
    </row>
    <row r="7" spans="2:10">
      <c r="B7" s="4" t="s">
        <v>69</v>
      </c>
      <c r="C7" s="4"/>
      <c r="D7" s="56"/>
      <c r="E7" s="4"/>
      <c r="G7" t="s">
        <v>67</v>
      </c>
      <c r="H7" s="5"/>
    </row>
    <row r="8" spans="2:10">
      <c r="B8" s="4" t="s">
        <v>70</v>
      </c>
      <c r="C8" s="4">
        <v>197.29</v>
      </c>
      <c r="D8" s="56"/>
      <c r="E8" s="4"/>
      <c r="H8" s="58">
        <f>SUM(H5:H7)</f>
        <v>0</v>
      </c>
      <c r="J8" s="9"/>
    </row>
    <row r="9" spans="2:10">
      <c r="B9" s="4"/>
      <c r="C9" s="5">
        <f>SUM(C7:C8)</f>
        <v>197.29</v>
      </c>
      <c r="D9" s="4"/>
      <c r="E9" s="4"/>
      <c r="H9" s="59"/>
    </row>
    <row r="10" spans="2:10">
      <c r="G10" s="25" t="s">
        <v>68</v>
      </c>
      <c r="H10" s="58"/>
      <c r="I10" s="9"/>
    </row>
    <row r="11" spans="2:10">
      <c r="C11" s="48"/>
      <c r="H11" s="59"/>
    </row>
    <row r="12" spans="2:10">
      <c r="H12" s="59"/>
    </row>
    <row r="13" spans="2:10">
      <c r="H13" s="59"/>
    </row>
    <row r="14" spans="2:10">
      <c r="H14" s="25"/>
    </row>
    <row r="15" spans="2:10">
      <c r="H15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კალკულაცია აგვისტო</vt:lpstr>
      <vt:lpstr>ოქტომბერი</vt:lpstr>
      <vt:lpstr>ნოემბერი</vt:lpstr>
      <vt:lpstr>დეკემბერი</vt:lpstr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</vt:lpstr>
      <vt:lpstr>ოქტ</vt:lpstr>
      <vt:lpstr>ნოემბ</vt:lpstr>
      <vt:lpstr>დეკ23</vt:lpstr>
      <vt:lpstr>იანვ24</vt:lpstr>
      <vt:lpstr>თებ24</vt:lpstr>
      <vt:lpstr>მარტ24</vt:lpstr>
      <vt:lpstr>აპრ24</vt:lpstr>
      <vt:lpstr>მაის24</vt:lpstr>
      <vt:lpstr>ივნისი24</vt:lpstr>
      <vt:lpstr>ივლისი24</vt:lpstr>
      <vt:lpstr>აგვისტო24</vt:lpstr>
      <vt:lpstr>სექ 24</vt:lpstr>
      <vt:lpstr>ოქტ 24</vt:lpstr>
      <vt:lpstr>ნოემ 24</vt:lpstr>
      <vt:lpstr>დეკ 24</vt:lpstr>
      <vt:lpstr>იანვარი 25</vt:lpstr>
      <vt:lpstr>თებერვალი 25</vt:lpstr>
      <vt:lpstr>მარტი 25</vt:lpstr>
      <vt:lpstr>აპრილი 25</vt:lpstr>
      <vt:lpstr>მაისი 25</vt:lpstr>
      <vt:lpstr>ივნ 25</vt:lpstr>
      <vt:lpstr>ივლ 25</vt:lpstr>
      <vt:lpstr>აგვისტო 25</vt:lpstr>
      <vt:lpstr>სექტ 25</vt:lpstr>
      <vt:lpstr>ოქტ 25</vt:lpstr>
      <vt:lpstr>ნოემ 25</vt:lpstr>
      <vt:lpstr>დეკ 25</vt:lpstr>
      <vt:lpstr>იანვ 26</vt:lpstr>
      <vt:lpstr>თებ 26</vt:lpstr>
      <vt:lpstr>მარ 26</vt:lpstr>
      <vt:lpstr>აპრილი 26</vt:lpstr>
      <vt:lpstr>მაისი 26</vt:lpstr>
      <vt:lpstr>ივნისი 26</vt:lpstr>
      <vt:lpstr>ივლისი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nino kharazishvilli</cp:lastModifiedBy>
  <dcterms:created xsi:type="dcterms:W3CDTF">2022-08-05T12:09:56Z</dcterms:created>
  <dcterms:modified xsi:type="dcterms:W3CDTF">2026-08-12T09:42:12Z</dcterms:modified>
</cp:coreProperties>
</file>