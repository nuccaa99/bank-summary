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0417"/>
  <workbookPr/>
  <mc:AlternateContent xmlns:mc="http://schemas.openxmlformats.org/markup-compatibility/2006">
    <mc:Choice Requires="x15">
      <x15ac:absPath xmlns:x15ac="http://schemas.microsoft.com/office/spreadsheetml/2010/11/ac" url="D:\nana\bank-summary\"/>
    </mc:Choice>
  </mc:AlternateContent>
  <xr:revisionPtr revIDLastSave="0" documentId="13_ncr:1_{03124906-417B-421B-B968-37A48BB51EA0}" xr6:coauthVersionLast="36" xr6:coauthVersionMax="37" xr10:uidLastSave="{00000000-0000-0000-0000-000000000000}"/>
  <bookViews>
    <workbookView xWindow="0" yWindow="0" windowWidth="22260" windowHeight="12648" activeTab="2" xr2:uid="{00000000-000D-0000-FFFF-FFFF00000000}"/>
  </bookViews>
  <sheets>
    <sheet name="გადასატანი" sheetId="1" r:id="rId1"/>
    <sheet name="ინფო" sheetId="3" r:id="rId2"/>
    <sheet name="თანხები" sheetId="2" r:id="rId3"/>
    <sheet name="Sheet1" sheetId="4" r:id="rId4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A2" i="2" l="1"/>
  <c r="B13" i="2" l="1"/>
  <c r="B14" i="2"/>
  <c r="B15" i="2"/>
  <c r="B16" i="2"/>
  <c r="B17" i="2"/>
  <c r="B18" i="2"/>
  <c r="A12" i="2"/>
  <c r="A13" i="2"/>
  <c r="A14" i="2"/>
  <c r="A15" i="2"/>
  <c r="A16" i="2"/>
  <c r="A17" i="2"/>
  <c r="A18" i="2"/>
  <c r="B12" i="2"/>
  <c r="A11" i="2" l="1"/>
  <c r="B11" i="2"/>
  <c r="A9" i="2" l="1"/>
  <c r="B9" i="2" l="1"/>
  <c r="F13" i="1" l="1"/>
  <c r="F14" i="1"/>
  <c r="F15" i="1"/>
  <c r="F16" i="1"/>
  <c r="F17" i="1"/>
  <c r="F18" i="1"/>
  <c r="C13" i="1"/>
  <c r="C14" i="1"/>
  <c r="C15" i="1"/>
  <c r="C16" i="1"/>
  <c r="C17" i="1"/>
  <c r="C18" i="1"/>
  <c r="B13" i="1"/>
  <c r="B14" i="1"/>
  <c r="B15" i="1"/>
  <c r="B16" i="1"/>
  <c r="B17" i="1"/>
  <c r="B18" i="1"/>
  <c r="A3" i="2"/>
  <c r="B3" i="2"/>
  <c r="A4" i="2"/>
  <c r="B4" i="2"/>
  <c r="A5" i="2"/>
  <c r="B5" i="2"/>
  <c r="A6" i="2"/>
  <c r="B6" i="2"/>
  <c r="A7" i="2"/>
  <c r="B7" i="2"/>
  <c r="A8" i="2"/>
  <c r="B8" i="2"/>
  <c r="A10" i="2"/>
  <c r="B10" i="2"/>
  <c r="B2" i="2"/>
  <c r="E17" i="1" l="1"/>
  <c r="E16" i="1"/>
  <c r="E15" i="1"/>
  <c r="E18" i="1"/>
  <c r="E14" i="1"/>
  <c r="E13" i="1"/>
  <c r="E12" i="1" l="1"/>
  <c r="F12" i="1"/>
  <c r="B12" i="1"/>
  <c r="C12" i="1"/>
  <c r="E11" i="1" l="1"/>
  <c r="B11" i="1"/>
  <c r="F11" i="1"/>
  <c r="C11" i="1"/>
  <c r="B10" i="1" l="1"/>
  <c r="E10" i="1"/>
  <c r="F10" i="1"/>
  <c r="F7" i="1"/>
  <c r="B7" i="1"/>
  <c r="E7" i="1"/>
  <c r="B9" i="1"/>
  <c r="F9" i="1"/>
  <c r="C9" i="1"/>
  <c r="E9" i="1"/>
  <c r="C7" i="1"/>
  <c r="E8" i="1"/>
  <c r="F8" i="1"/>
  <c r="B8" i="1"/>
  <c r="C10" i="1"/>
  <c r="C8" i="1"/>
  <c r="E6" i="1" l="1"/>
  <c r="B6" i="1"/>
  <c r="F6" i="1"/>
  <c r="C6" i="1"/>
  <c r="F2" i="1" l="1"/>
  <c r="E2" i="1"/>
  <c r="B2" i="1"/>
  <c r="B4" i="1"/>
  <c r="F4" i="1"/>
  <c r="E4" i="1"/>
  <c r="C2" i="1"/>
  <c r="B3" i="1"/>
  <c r="E3" i="1"/>
  <c r="F3" i="1"/>
  <c r="C3" i="1"/>
  <c r="B5" i="1"/>
  <c r="E5" i="1"/>
  <c r="F5" i="1"/>
  <c r="C4" i="1"/>
  <c r="C5" i="1"/>
</calcChain>
</file>

<file path=xl/sharedStrings.xml><?xml version="1.0" encoding="utf-8"?>
<sst xmlns="http://schemas.openxmlformats.org/spreadsheetml/2006/main" count="143" uniqueCount="97">
  <si>
    <t>8</t>
  </si>
  <si>
    <t>268</t>
  </si>
  <si>
    <t>საქართველო, ქალაქი თბილისი, შალვა ნუცუბიძის ფერდობი, IV მიკრო/რაიონი, კორპუსი 12, ბინა 3</t>
  </si>
  <si>
    <t>ლომჯარია</t>
  </si>
  <si>
    <t>მიხეილ</t>
  </si>
  <si>
    <t>01010000461</t>
  </si>
  <si>
    <t>ოჩამჩირე ს. კოჩარა</t>
  </si>
  <si>
    <t>გოგუა</t>
  </si>
  <si>
    <t>ბექა</t>
  </si>
  <si>
    <t>01001048964</t>
  </si>
  <si>
    <t>თბილისი გარდაბნის გზატ. N 42</t>
  </si>
  <si>
    <t>სირაძე</t>
  </si>
  <si>
    <t>ბადრი</t>
  </si>
  <si>
    <t>ქობულეთი ს. ჩაისუბანი მე–5 I ჩიხი N 1</t>
  </si>
  <si>
    <t>ზოიძე</t>
  </si>
  <si>
    <t>მერაბ</t>
  </si>
  <si>
    <t>61004060093</t>
  </si>
  <si>
    <t>საქართველო, ქალაქი თბილისი, ზაზა ფანასკერტელ-ციციშვილის ქუჩა, კორპუსი 15ა, ბინა 51</t>
  </si>
  <si>
    <t>კაბულაშვილი</t>
  </si>
  <si>
    <t>ზაზა</t>
  </si>
  <si>
    <t>01026005414</t>
  </si>
  <si>
    <t>საქართველო, ქალაქი თბილისი, ნიკოლოზ ანთელავას ქუჩა, N 4(ყოფ. პ. იბერის ქ.)</t>
  </si>
  <si>
    <t>მელაძე</t>
  </si>
  <si>
    <t>გიორგი</t>
  </si>
  <si>
    <t>01030053229</t>
  </si>
  <si>
    <t>საქართველო, ქალაქი ფოთი, უშანგი ჩხეიძის ქუჩა, N 3, ბინა 11</t>
  </si>
  <si>
    <t>კუპრეიშვილი</t>
  </si>
  <si>
    <t>ოთარ</t>
  </si>
  <si>
    <t>42401042214</t>
  </si>
  <si>
    <t>თბილისი გუდამაყრის ქ. N 2 ბ. 102</t>
  </si>
  <si>
    <t>საყვარელიძე</t>
  </si>
  <si>
    <t>დავითი</t>
  </si>
  <si>
    <t>38001048993</t>
  </si>
  <si>
    <t>განაცემის ოდენობა (თანხა)</t>
  </si>
  <si>
    <t>მომსახურების სახე</t>
  </si>
  <si>
    <t>განაცემის მიმღების გვარი</t>
  </si>
  <si>
    <t>განაცემის მიმღების სახელი</t>
  </si>
  <si>
    <t>განაცემის მიმღების საიდენტიფიკაციო/ პირადი ნომერი</t>
  </si>
  <si>
    <t>თომაძე</t>
  </si>
  <si>
    <t>ზურაბი</t>
  </si>
  <si>
    <t>გვარი</t>
  </si>
  <si>
    <t>სახელი</t>
  </si>
  <si>
    <t>თანხა</t>
  </si>
  <si>
    <t>პნ</t>
  </si>
  <si>
    <t>01017025072</t>
  </si>
  <si>
    <t>თბილისი გიგა ლორთქიფანიძის ქ. N 13 ფ. 2</t>
  </si>
  <si>
    <t>მისამართი</t>
  </si>
  <si>
    <t>პირის რეზიდენტობა (ქვეყანა)</t>
  </si>
  <si>
    <t>ალექსანდრე</t>
  </si>
  <si>
    <t>კილასონია</t>
  </si>
  <si>
    <t>ნინო</t>
  </si>
  <si>
    <t>კვარაცხელია</t>
  </si>
  <si>
    <t>01008013563</t>
  </si>
  <si>
    <t>საქართველო, ქალაქი თბილისი, ვაგან მამასახლისოვის ქუჩა, N 7, ბინა 22</t>
  </si>
  <si>
    <t>01030053301</t>
  </si>
  <si>
    <t>საქართველო, ქალაქი თბილისი, ფიროსმანის ქუჩა, N 3</t>
  </si>
  <si>
    <t>01011046767</t>
  </si>
  <si>
    <t>ინა</t>
  </si>
  <si>
    <t>მკრტიჩიანი</t>
  </si>
  <si>
    <t>თბილისი კონსტანტინე ცუცქირიძის შეს. N 7 ფ. 4</t>
  </si>
  <si>
    <t>ვაშაყმაძე</t>
  </si>
  <si>
    <t>აბესალომ</t>
  </si>
  <si>
    <t>35001090633</t>
  </si>
  <si>
    <t>საქართველო, ქალაქი რუსთავი, XX მიკრო/რაიონი, N 12, ბინა 37</t>
  </si>
  <si>
    <t>22001020425</t>
  </si>
  <si>
    <t>გვარამ</t>
  </si>
  <si>
    <t>გელაშვილი</t>
  </si>
  <si>
    <t>01009017409</t>
  </si>
  <si>
    <t>საქართველო, ქალაქი თბილისი, პეტრე ქავთარაძის IV შესახვევი, N 5, ბინა 10</t>
  </si>
  <si>
    <t>ქავთარაძე</t>
  </si>
  <si>
    <t>დუშეთი ს. ცივწყარო</t>
  </si>
  <si>
    <t>01019013199</t>
  </si>
  <si>
    <t>კობაიძე</t>
  </si>
  <si>
    <t>მეტრეველი</t>
  </si>
  <si>
    <t>01401103956</t>
  </si>
  <si>
    <t>01008062909</t>
  </si>
  <si>
    <t>თბილისი</t>
  </si>
  <si>
    <t>ცისკაძე</t>
  </si>
  <si>
    <t>თამარ</t>
  </si>
  <si>
    <t>გვარამია</t>
  </si>
  <si>
    <t>01015009684</t>
  </si>
  <si>
    <t>გოდერძიშვილი</t>
  </si>
  <si>
    <t>ირაკლი</t>
  </si>
  <si>
    <t>მანველიშვილი</t>
  </si>
  <si>
    <t>ჰენრი</t>
  </si>
  <si>
    <t>01019085735</t>
  </si>
  <si>
    <t>ელოიძე</t>
  </si>
  <si>
    <t>რობერტ</t>
  </si>
  <si>
    <t>სიხარულიძე</t>
  </si>
  <si>
    <t>ნათია</t>
  </si>
  <si>
    <t>ჯამელაშვილი</t>
  </si>
  <si>
    <t>დავით</t>
  </si>
  <si>
    <t>სვირავა</t>
  </si>
  <si>
    <t>01001080496</t>
  </si>
  <si>
    <t>62002006157</t>
  </si>
  <si>
    <t>ლიანა</t>
  </si>
  <si>
    <t>მხეიძე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</si>
</sst>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3" formatCode="_(* #,##0.00_);_(* \(#,##0.00\);_(* &quot;-&quot;??_);_(@_)"/>
  </numFmts>
  <fonts count="6">
    <font>
      <sz val="11"/>
      <color theme="1"/>
      <name val="Calibri"/>
      <family val="2"/>
      <scheme val="minor"/>
    </font>
    <font>
      <sz val="10"/>
      <color indexed="8"/>
      <name val="Calibri"/>
      <family val="2"/>
    </font>
    <font>
      <sz val="8"/>
      <color rgb="FF333333"/>
      <name val="BPG Excelsior Caps DejaVu 2010"/>
    </font>
    <font>
      <sz val="10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color rgb="FF222222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rgb="FFEEECE1"/>
        <bgColor indexed="64"/>
      </patternFill>
    </fill>
    <fill>
      <patternFill patternType="solid">
        <fgColor rgb="FFF2F2F2"/>
        <bgColor rgb="FFF2F2F2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43" fontId="4" fillId="0" borderId="0" applyFont="0" applyFill="0" applyBorder="0" applyAlignment="0" applyProtection="0"/>
  </cellStyleXfs>
  <cellXfs count="20">
    <xf numFmtId="0" fontId="0" fillId="0" borderId="0" xfId="0"/>
    <xf numFmtId="49" fontId="0" fillId="0" borderId="0" xfId="0" applyNumberFormat="1"/>
    <xf numFmtId="49" fontId="1" fillId="0" borderId="0" xfId="0" applyNumberFormat="1" applyFont="1" applyFill="1" applyBorder="1" applyAlignment="1">
      <alignment horizontal="left" vertical="top"/>
    </xf>
    <xf numFmtId="0" fontId="0" fillId="0" borderId="0" xfId="0" applyNumberFormat="1" applyFont="1" applyFill="1" applyBorder="1"/>
    <xf numFmtId="2" fontId="0" fillId="0" borderId="0" xfId="0" applyNumberFormat="1"/>
    <xf numFmtId="0" fontId="0" fillId="0" borderId="0" xfId="0" applyNumberFormat="1"/>
    <xf numFmtId="0" fontId="0" fillId="0" borderId="0" xfId="0" applyNumberFormat="1" applyAlignment="1">
      <alignment horizontal="center"/>
    </xf>
    <xf numFmtId="0" fontId="0" fillId="0" borderId="0" xfId="0" quotePrefix="1"/>
    <xf numFmtId="0" fontId="1" fillId="0" borderId="0" xfId="0" applyNumberFormat="1" applyFont="1" applyFill="1" applyBorder="1" applyAlignment="1">
      <alignment horizontal="left" vertical="top"/>
    </xf>
    <xf numFmtId="0" fontId="0" fillId="2" borderId="1" xfId="0" applyFill="1" applyBorder="1"/>
    <xf numFmtId="49" fontId="0" fillId="0" borderId="0" xfId="0" quotePrefix="1" applyNumberFormat="1"/>
    <xf numFmtId="0" fontId="2" fillId="0" borderId="0" xfId="0" applyFont="1"/>
    <xf numFmtId="0" fontId="3" fillId="0" borderId="0" xfId="0" quotePrefix="1" applyFont="1"/>
    <xf numFmtId="0" fontId="0" fillId="0" borderId="0" xfId="0" applyAlignment="1">
      <alignment horizontal="left"/>
    </xf>
    <xf numFmtId="0" fontId="5" fillId="0" borderId="0" xfId="0" applyFont="1"/>
    <xf numFmtId="43" fontId="0" fillId="0" borderId="0" xfId="1" applyFont="1"/>
    <xf numFmtId="0" fontId="0" fillId="3" borderId="0" xfId="0" applyFill="1"/>
    <xf numFmtId="0" fontId="0" fillId="0" borderId="0" xfId="0" applyFill="1"/>
    <xf numFmtId="0" fontId="0" fillId="0" borderId="0" xfId="0" applyNumberFormat="1" applyFill="1"/>
    <xf numFmtId="43" fontId="0" fillId="0" borderId="0" xfId="1" applyFont="1" applyFill="1"/>
  </cellXfs>
  <cellStyles count="2">
    <cellStyle name="Comma" xfId="1" builtinId="3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1048576"/>
  <sheetViews>
    <sheetView workbookViewId="0">
      <selection activeCell="D13" sqref="D13"/>
    </sheetView>
  </sheetViews>
  <sheetFormatPr defaultRowHeight="14.4"/>
  <cols>
    <col min="1" max="1" width="33.6640625" customWidth="1"/>
    <col min="2" max="2" width="26.21875" style="5" bestFit="1" customWidth="1"/>
    <col min="3" max="3" width="24.6640625" bestFit="1" customWidth="1"/>
    <col min="4" max="4" width="53.21875" customWidth="1"/>
    <col min="6" max="6" width="14.33203125" customWidth="1"/>
  </cols>
  <sheetData>
    <row r="1" spans="1:7">
      <c r="A1" s="9" t="s">
        <v>37</v>
      </c>
      <c r="B1" s="9" t="s">
        <v>36</v>
      </c>
      <c r="C1" s="9" t="s">
        <v>35</v>
      </c>
      <c r="D1" s="9" t="s">
        <v>34</v>
      </c>
      <c r="E1" s="9" t="s">
        <v>33</v>
      </c>
      <c r="F1" s="9" t="s">
        <v>46</v>
      </c>
      <c r="G1" s="9" t="s">
        <v>47</v>
      </c>
    </row>
    <row r="2" spans="1:7">
      <c r="A2" t="s">
        <v>24</v>
      </c>
      <c r="B2" s="8" t="str">
        <f>INDEX(ინფო!B:B,MATCH(A2,ინფო!A:A,0))</f>
        <v>გიორგი</v>
      </c>
      <c r="C2" s="8" t="str">
        <f>INDEX(ინფო!C:C,MATCH(A2,ინფო!A:A,0))</f>
        <v>მელაძე</v>
      </c>
      <c r="D2" s="8" t="s">
        <v>0</v>
      </c>
      <c r="E2" t="e">
        <f>INDEX(თანხები!D:D,MATCH(A2,თანხები!A:A,0))</f>
        <v>#N/A</v>
      </c>
      <c r="F2" s="5" t="str">
        <f>INDEX(ინფო!D:D,MATCH(A2,ინფო!A:A,0))</f>
        <v>საქართველო, ქალაქი თბილისი, ნიკოლოზ ანთელავას ქუჩა, N 4(ყოფ. პ. იბერის ქ.)</v>
      </c>
      <c r="G2" s="4" t="s">
        <v>1</v>
      </c>
    </row>
    <row r="3" spans="1:7">
      <c r="A3" t="s">
        <v>32</v>
      </c>
      <c r="B3" s="8" t="str">
        <f>INDEX(ინფო!B:B,MATCH(A3,ინფო!A:A,0))</f>
        <v>დავითი</v>
      </c>
      <c r="C3" s="8" t="str">
        <f>INDEX(ინფო!C:C,MATCH(A3,ინფო!A:A,0))</f>
        <v>საყვარელიძე</v>
      </c>
      <c r="D3" s="8" t="s">
        <v>0</v>
      </c>
      <c r="E3">
        <f>INDEX(თანხები!D:D,MATCH(A3,თანხები!A:A,0))</f>
        <v>2573.61</v>
      </c>
      <c r="F3" s="5" t="str">
        <f>INDEX(ინფო!D:D,MATCH(A3,ინფო!A:A,0))</f>
        <v>თბილისი გუდამაყრის ქ. N 2 ბ. 102</v>
      </c>
      <c r="G3" s="4" t="s">
        <v>1</v>
      </c>
    </row>
    <row r="4" spans="1:7">
      <c r="A4" t="s">
        <v>64</v>
      </c>
      <c r="B4" s="8" t="str">
        <f>INDEX(ინფო!B:B,MATCH(A4,ინფო!A:A,0))</f>
        <v>ბადრი</v>
      </c>
      <c r="C4" s="8" t="str">
        <f>INDEX(ინფო!C:C,MATCH(A4,ინფო!A:A,0))</f>
        <v>სირაძე</v>
      </c>
      <c r="D4" s="8" t="s">
        <v>0</v>
      </c>
      <c r="E4">
        <f>INDEX(თანხები!D:D,MATCH(A4,თანხები!A:A,0))</f>
        <v>2904.64</v>
      </c>
      <c r="F4" s="5" t="str">
        <f>INDEX(ინფო!D:D,MATCH(A4,ინფო!A:A,0))</f>
        <v>თბილისი გარდაბნის გზატ. N 42</v>
      </c>
      <c r="G4" s="4" t="s">
        <v>1</v>
      </c>
    </row>
    <row r="5" spans="1:7">
      <c r="A5">
        <v>62003016407</v>
      </c>
      <c r="B5" s="8" t="str">
        <f>INDEX(ინფო!B:B,MATCH(A5,ინფო!A:A,0))</f>
        <v>დავით</v>
      </c>
      <c r="C5" s="8" t="str">
        <f>INDEX(ინფო!C:C,MATCH(A5,ინფო!A:A,0))</f>
        <v>სვირავა</v>
      </c>
      <c r="D5" s="8" t="s">
        <v>0</v>
      </c>
      <c r="E5" t="e">
        <f>INDEX(თანხები!D:D,MATCH(A5,თანხები!A:A,0))</f>
        <v>#N/A</v>
      </c>
      <c r="F5" s="5" t="str">
        <f>INDEX(ინფო!D:D,MATCH(A5,ინფო!A:A,0))</f>
        <v>თბილისი</v>
      </c>
      <c r="G5" s="4" t="s">
        <v>1</v>
      </c>
    </row>
    <row r="6" spans="1:7">
      <c r="B6" s="8" t="e">
        <f>INDEX(ინფო!B:B,MATCH(A6,ინფო!A:A,0))</f>
        <v>#N/A</v>
      </c>
      <c r="C6" s="8" t="e">
        <f>INDEX(ინფო!C:C,MATCH(A6,ინფო!A:A,0))</f>
        <v>#N/A</v>
      </c>
      <c r="D6" s="8" t="s">
        <v>0</v>
      </c>
      <c r="E6" t="e">
        <f>INDEX(თანხები!D:D,MATCH(A6,თანხები!A:A,0))</f>
        <v>#N/A</v>
      </c>
      <c r="F6" s="5" t="e">
        <f>INDEX(ინფო!D:D,MATCH(A6,ინფო!A:A,0))</f>
        <v>#N/A</v>
      </c>
      <c r="G6" s="4" t="s">
        <v>1</v>
      </c>
    </row>
    <row r="7" spans="1:7">
      <c r="B7" s="8" t="e">
        <f>INDEX(ინფო!B:B,MATCH(A7,ინფო!A:A,0))</f>
        <v>#N/A</v>
      </c>
      <c r="C7" s="8" t="e">
        <f>INDEX(ინფო!C:C,MATCH(A7,ინფო!A:A,0))</f>
        <v>#N/A</v>
      </c>
      <c r="D7" s="8" t="s">
        <v>0</v>
      </c>
      <c r="E7" t="e">
        <f>INDEX(თანხები!D:D,MATCH(A7,თანხები!A:A,0))</f>
        <v>#N/A</v>
      </c>
      <c r="F7" s="5" t="e">
        <f>INDEX(ინფო!D:D,MATCH(A7,ინფო!A:A,0))</f>
        <v>#N/A</v>
      </c>
      <c r="G7" s="4" t="s">
        <v>1</v>
      </c>
    </row>
    <row r="8" spans="1:7">
      <c r="B8" s="8" t="e">
        <f>INDEX(ინფო!B:B,MATCH(A8,ინფო!A:A,0))</f>
        <v>#N/A</v>
      </c>
      <c r="C8" s="8" t="e">
        <f>INDEX(ინფო!C:C,MATCH(A8,ინფო!A:A,0))</f>
        <v>#N/A</v>
      </c>
      <c r="D8" s="8" t="s">
        <v>0</v>
      </c>
      <c r="E8" t="e">
        <f>INDEX(თანხები!D:D,MATCH(A8,თანხები!A:A,0))</f>
        <v>#N/A</v>
      </c>
      <c r="F8" s="5" t="e">
        <f>INDEX(ინფო!D:D,MATCH(A8,ინფო!A:A,0))</f>
        <v>#N/A</v>
      </c>
      <c r="G8" s="4" t="s">
        <v>1</v>
      </c>
    </row>
    <row r="9" spans="1:7">
      <c r="B9" s="8" t="e">
        <f>INDEX(ინფო!B:B,MATCH(A9,ინფო!A:A,0))</f>
        <v>#N/A</v>
      </c>
      <c r="C9" s="8" t="e">
        <f>INDEX(ინფო!C:C,MATCH(A9,ინფო!A:A,0))</f>
        <v>#N/A</v>
      </c>
      <c r="D9" s="8">
        <v>8</v>
      </c>
      <c r="E9" t="e">
        <f>INDEX(თანხები!D:D,MATCH(A9,თანხები!A:A,0))</f>
        <v>#N/A</v>
      </c>
      <c r="F9" s="5" t="e">
        <f>INDEX(ინფო!D:D,MATCH(A9,ინფო!A:A,0))</f>
        <v>#N/A</v>
      </c>
      <c r="G9" s="4" t="s">
        <v>1</v>
      </c>
    </row>
    <row r="10" spans="1:7">
      <c r="B10" s="8" t="e">
        <f>INDEX(ინფო!B:B,MATCH(A10,ინფო!A:A,0))</f>
        <v>#N/A</v>
      </c>
      <c r="C10" s="8" t="e">
        <f>INDEX(ინფო!C:C,MATCH(A10,ინფო!A:A,0))</f>
        <v>#N/A</v>
      </c>
      <c r="D10" s="8">
        <v>8</v>
      </c>
      <c r="E10" t="e">
        <f>INDEX(თანხები!D:D,MATCH(A10,თანხები!A:A,0))</f>
        <v>#N/A</v>
      </c>
      <c r="F10" s="5" t="e">
        <f>INDEX(ინფო!D:D,MATCH(A10,ინფო!A:A,0))</f>
        <v>#N/A</v>
      </c>
      <c r="G10" s="4" t="s">
        <v>1</v>
      </c>
    </row>
    <row r="11" spans="1:7">
      <c r="B11" s="8" t="e">
        <f>INDEX(ინფო!B:B,MATCH(A11,ინფო!A:A,0))</f>
        <v>#N/A</v>
      </c>
      <c r="C11" s="8" t="e">
        <f>INDEX(ინფო!C:C,MATCH(A11,ინფო!A:A,0))</f>
        <v>#N/A</v>
      </c>
      <c r="D11" s="8">
        <v>8</v>
      </c>
      <c r="E11" t="e">
        <f>INDEX(თანხები!D:D,MATCH(A11,თანხები!A:A,0))</f>
        <v>#N/A</v>
      </c>
      <c r="F11" s="5" t="e">
        <f>INDEX(ინფო!D:D,MATCH(A11,ინფო!A:A,0))</f>
        <v>#N/A</v>
      </c>
      <c r="G11" s="4" t="s">
        <v>1</v>
      </c>
    </row>
    <row r="12" spans="1:7">
      <c r="B12" s="8" t="e">
        <f>INDEX(ინფო!B:B,MATCH(A12,ინფო!A:A,0))</f>
        <v>#N/A</v>
      </c>
      <c r="C12" s="8" t="e">
        <f>INDEX(ინფო!C:C,MATCH(A12,ინფო!A:A,0))</f>
        <v>#N/A</v>
      </c>
      <c r="D12" s="8">
        <v>8</v>
      </c>
      <c r="E12" t="e">
        <f>INDEX(თანხები!D:D,MATCH(A12,თანხები!A:A,0))</f>
        <v>#N/A</v>
      </c>
      <c r="F12" s="5" t="e">
        <f>INDEX(ინფო!D:D,MATCH(A12,ინფო!A:A,0))</f>
        <v>#N/A</v>
      </c>
      <c r="G12" s="4" t="s">
        <v>1</v>
      </c>
    </row>
    <row r="13" spans="1:7">
      <c r="B13" s="8" t="e">
        <f>INDEX(ინფო!B:B,MATCH(A13,ინფო!A:A,0))</f>
        <v>#N/A</v>
      </c>
      <c r="C13" s="8" t="e">
        <f>INDEX(ინფო!C:C,MATCH(A13,ინფო!A:A,0))</f>
        <v>#N/A</v>
      </c>
      <c r="D13" s="8">
        <v>8</v>
      </c>
      <c r="E13" t="e">
        <f>INDEX(თანხები!D:D,MATCH(A13,თანხები!A:A,0))</f>
        <v>#N/A</v>
      </c>
      <c r="F13" s="5" t="e">
        <f>INDEX(ინფო!D:D,MATCH(A13,ინფო!A:A,0))</f>
        <v>#N/A</v>
      </c>
      <c r="G13" s="4" t="s">
        <v>1</v>
      </c>
    </row>
    <row r="14" spans="1:7">
      <c r="B14" s="8" t="e">
        <f>INDEX(ინფო!B:B,MATCH(A14,ინფო!A:A,0))</f>
        <v>#N/A</v>
      </c>
      <c r="C14" s="8" t="e">
        <f>INDEX(ინფო!C:C,MATCH(A14,ინფო!A:A,0))</f>
        <v>#N/A</v>
      </c>
      <c r="D14" s="8">
        <v>8</v>
      </c>
      <c r="E14" t="e">
        <f>INDEX(თანხები!D:D,MATCH(A14,თანხები!A:A,0))</f>
        <v>#N/A</v>
      </c>
      <c r="F14" s="5" t="e">
        <f>INDEX(ინფო!D:D,MATCH(A14,ინფო!A:A,0))</f>
        <v>#N/A</v>
      </c>
      <c r="G14" s="4" t="s">
        <v>1</v>
      </c>
    </row>
    <row r="15" spans="1:7">
      <c r="B15" s="8" t="e">
        <f>INDEX(ინფო!B:B,MATCH(A15,ინფო!A:A,0))</f>
        <v>#N/A</v>
      </c>
      <c r="C15" s="8" t="e">
        <f>INDEX(ინფო!C:C,MATCH(A15,ინფო!A:A,0))</f>
        <v>#N/A</v>
      </c>
      <c r="D15" s="8">
        <v>8</v>
      </c>
      <c r="E15" t="e">
        <f>INDEX(თანხები!D:D,MATCH(A15,თანხები!A:A,0))</f>
        <v>#N/A</v>
      </c>
      <c r="F15" s="5" t="e">
        <f>INDEX(ინფო!D:D,MATCH(A15,ინფო!A:A,0))</f>
        <v>#N/A</v>
      </c>
      <c r="G15" s="4" t="s">
        <v>1</v>
      </c>
    </row>
    <row r="16" spans="1:7">
      <c r="B16" s="8" t="e">
        <f>INDEX(ინფო!B:B,MATCH(A16,ინფო!A:A,0))</f>
        <v>#N/A</v>
      </c>
      <c r="C16" s="8" t="e">
        <f>INDEX(ინფო!C:C,MATCH(A16,ინფო!A:A,0))</f>
        <v>#N/A</v>
      </c>
      <c r="D16" s="8">
        <v>8</v>
      </c>
      <c r="E16" t="e">
        <f>INDEX(თანხები!D:D,MATCH(A16,თანხები!A:A,0))</f>
        <v>#N/A</v>
      </c>
      <c r="F16" s="5" t="e">
        <f>INDEX(ინფო!D:D,MATCH(A16,ინფო!A:A,0))</f>
        <v>#N/A</v>
      </c>
      <c r="G16" s="4" t="s">
        <v>1</v>
      </c>
    </row>
    <row r="17" spans="2:7">
      <c r="B17" s="8" t="e">
        <f>INDEX(ინფო!B:B,MATCH(A17,ინფო!A:A,0))</f>
        <v>#N/A</v>
      </c>
      <c r="C17" s="8" t="e">
        <f>INDEX(ინფო!C:C,MATCH(A17,ინფო!A:A,0))</f>
        <v>#N/A</v>
      </c>
      <c r="D17" s="8">
        <v>8</v>
      </c>
      <c r="E17" t="e">
        <f>INDEX(თანხები!D:D,MATCH(A17,თანხები!A:A,0))</f>
        <v>#N/A</v>
      </c>
      <c r="F17" s="5" t="e">
        <f>INDEX(ინფო!D:D,MATCH(A17,ინფო!A:A,0))</f>
        <v>#N/A</v>
      </c>
      <c r="G17" s="4" t="s">
        <v>1</v>
      </c>
    </row>
    <row r="18" spans="2:7">
      <c r="B18" s="8" t="e">
        <f>INDEX(ინფო!B:B,MATCH(A18,ინფო!A:A,0))</f>
        <v>#N/A</v>
      </c>
      <c r="C18" s="8" t="e">
        <f>INDEX(ინფო!C:C,MATCH(A18,ინფო!A:A,0))</f>
        <v>#N/A</v>
      </c>
      <c r="D18" s="8">
        <v>8</v>
      </c>
      <c r="E18" t="e">
        <f>INDEX(თანხები!D:D,MATCH(A18,თანხები!A:A,0))</f>
        <v>#N/A</v>
      </c>
      <c r="F18" s="5" t="e">
        <f>INDEX(ინფო!D:D,MATCH(A18,ინფო!A:A,0))</f>
        <v>#N/A</v>
      </c>
      <c r="G18" s="4" t="s">
        <v>1</v>
      </c>
    </row>
    <row r="1048576" spans="7:7">
      <c r="G1048576" s="4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04AE93E-E511-4BD8-A9E1-AE041AC99209}">
  <dimension ref="A1:D26"/>
  <sheetViews>
    <sheetView workbookViewId="0">
      <selection activeCell="C29" sqref="C29"/>
    </sheetView>
  </sheetViews>
  <sheetFormatPr defaultRowHeight="14.4"/>
  <cols>
    <col min="1" max="1" width="12" bestFit="1" customWidth="1"/>
    <col min="2" max="2" width="12.21875" customWidth="1"/>
    <col min="3" max="3" width="16.109375" customWidth="1"/>
    <col min="4" max="4" width="87.33203125" bestFit="1" customWidth="1"/>
  </cols>
  <sheetData>
    <row r="1" spans="1:4">
      <c r="A1" s="1" t="s">
        <v>32</v>
      </c>
      <c r="B1" s="2" t="s">
        <v>31</v>
      </c>
      <c r="C1" s="2" t="s">
        <v>30</v>
      </c>
      <c r="D1" s="2" t="s">
        <v>29</v>
      </c>
    </row>
    <row r="2" spans="1:4">
      <c r="A2" s="1" t="s">
        <v>28</v>
      </c>
      <c r="B2" s="2" t="s">
        <v>27</v>
      </c>
      <c r="C2" s="2" t="s">
        <v>26</v>
      </c>
      <c r="D2" s="2" t="s">
        <v>25</v>
      </c>
    </row>
    <row r="3" spans="1:4">
      <c r="A3" s="1" t="s">
        <v>24</v>
      </c>
      <c r="B3" s="2" t="s">
        <v>23</v>
      </c>
      <c r="C3" s="2" t="s">
        <v>22</v>
      </c>
      <c r="D3" s="2" t="s">
        <v>21</v>
      </c>
    </row>
    <row r="4" spans="1:4">
      <c r="A4" s="1" t="s">
        <v>20</v>
      </c>
      <c r="B4" s="2" t="s">
        <v>19</v>
      </c>
      <c r="C4" s="2" t="s">
        <v>18</v>
      </c>
      <c r="D4" s="2" t="s">
        <v>17</v>
      </c>
    </row>
    <row r="5" spans="1:4">
      <c r="A5" s="1" t="s">
        <v>16</v>
      </c>
      <c r="B5" s="2" t="s">
        <v>15</v>
      </c>
      <c r="C5" s="2" t="s">
        <v>14</v>
      </c>
      <c r="D5" s="2" t="s">
        <v>13</v>
      </c>
    </row>
    <row r="6" spans="1:4">
      <c r="A6" s="1" t="s">
        <v>64</v>
      </c>
      <c r="B6" s="3" t="s">
        <v>12</v>
      </c>
      <c r="C6" s="3" t="s">
        <v>11</v>
      </c>
      <c r="D6" s="2" t="s">
        <v>10</v>
      </c>
    </row>
    <row r="7" spans="1:4">
      <c r="A7" s="1" t="s">
        <v>9</v>
      </c>
      <c r="B7" s="3" t="s">
        <v>8</v>
      </c>
      <c r="C7" s="3" t="s">
        <v>7</v>
      </c>
      <c r="D7" s="2" t="s">
        <v>6</v>
      </c>
    </row>
    <row r="8" spans="1:4">
      <c r="A8" s="1" t="s">
        <v>5</v>
      </c>
      <c r="B8" s="3" t="s">
        <v>4</v>
      </c>
      <c r="C8" s="3" t="s">
        <v>3</v>
      </c>
      <c r="D8" s="2" t="s">
        <v>2</v>
      </c>
    </row>
    <row r="9" spans="1:4">
      <c r="A9" s="7" t="s">
        <v>44</v>
      </c>
      <c r="B9" t="s">
        <v>39</v>
      </c>
      <c r="C9" t="s">
        <v>38</v>
      </c>
      <c r="D9" s="2" t="s">
        <v>45</v>
      </c>
    </row>
    <row r="10" spans="1:4">
      <c r="A10" t="s">
        <v>52</v>
      </c>
      <c r="B10" t="s">
        <v>48</v>
      </c>
      <c r="C10" s="3" t="s">
        <v>49</v>
      </c>
      <c r="D10" t="s">
        <v>53</v>
      </c>
    </row>
    <row r="11" spans="1:4">
      <c r="A11" s="10" t="s">
        <v>54</v>
      </c>
      <c r="B11" t="s">
        <v>50</v>
      </c>
      <c r="C11" s="3" t="s">
        <v>51</v>
      </c>
      <c r="D11" t="s">
        <v>55</v>
      </c>
    </row>
    <row r="12" spans="1:4">
      <c r="A12" s="10" t="s">
        <v>56</v>
      </c>
      <c r="B12" t="s">
        <v>57</v>
      </c>
      <c r="C12" t="s">
        <v>58</v>
      </c>
      <c r="D12" t="s">
        <v>59</v>
      </c>
    </row>
    <row r="13" spans="1:4">
      <c r="A13" t="s">
        <v>62</v>
      </c>
      <c r="B13" t="s">
        <v>61</v>
      </c>
      <c r="C13" t="s">
        <v>60</v>
      </c>
      <c r="D13" t="s">
        <v>63</v>
      </c>
    </row>
    <row r="14" spans="1:4">
      <c r="A14" s="10" t="s">
        <v>67</v>
      </c>
      <c r="B14" s="11" t="s">
        <v>65</v>
      </c>
      <c r="C14" s="11" t="s">
        <v>66</v>
      </c>
      <c r="D14" s="11" t="s">
        <v>68</v>
      </c>
    </row>
    <row r="15" spans="1:4">
      <c r="A15" s="12" t="s">
        <v>71</v>
      </c>
      <c r="B15" t="s">
        <v>31</v>
      </c>
      <c r="C15" t="s">
        <v>69</v>
      </c>
      <c r="D15" t="s">
        <v>70</v>
      </c>
    </row>
    <row r="16" spans="1:4">
      <c r="A16" s="12">
        <v>35001031047</v>
      </c>
      <c r="B16" t="s">
        <v>23</v>
      </c>
      <c r="C16" t="s">
        <v>77</v>
      </c>
      <c r="D16" t="s">
        <v>76</v>
      </c>
    </row>
    <row r="17" spans="1:4">
      <c r="A17" s="7" t="s">
        <v>75</v>
      </c>
      <c r="B17" t="s">
        <v>23</v>
      </c>
      <c r="C17" t="s">
        <v>72</v>
      </c>
      <c r="D17" t="s">
        <v>76</v>
      </c>
    </row>
    <row r="18" spans="1:4">
      <c r="A18" s="7" t="s">
        <v>74</v>
      </c>
      <c r="B18" t="s">
        <v>23</v>
      </c>
      <c r="C18" t="s">
        <v>73</v>
      </c>
      <c r="D18" t="s">
        <v>76</v>
      </c>
    </row>
    <row r="19" spans="1:4">
      <c r="A19" s="7" t="s">
        <v>80</v>
      </c>
      <c r="B19" t="s">
        <v>78</v>
      </c>
      <c r="C19" t="s">
        <v>79</v>
      </c>
      <c r="D19" t="s">
        <v>76</v>
      </c>
    </row>
    <row r="20" spans="1:4">
      <c r="A20" s="14">
        <v>24001050126</v>
      </c>
      <c r="B20" t="s">
        <v>82</v>
      </c>
      <c r="C20" t="s">
        <v>81</v>
      </c>
      <c r="D20" t="s">
        <v>76</v>
      </c>
    </row>
    <row r="21" spans="1:4">
      <c r="A21" s="7" t="s">
        <v>85</v>
      </c>
      <c r="B21" t="s">
        <v>84</v>
      </c>
      <c r="C21" t="s">
        <v>83</v>
      </c>
      <c r="D21" t="s">
        <v>76</v>
      </c>
    </row>
    <row r="22" spans="1:4">
      <c r="A22">
        <v>47001040600</v>
      </c>
      <c r="B22" t="s">
        <v>87</v>
      </c>
      <c r="C22" t="s">
        <v>86</v>
      </c>
      <c r="D22" t="s">
        <v>76</v>
      </c>
    </row>
    <row r="23" spans="1:4">
      <c r="A23">
        <v>61004012600</v>
      </c>
      <c r="B23" t="s">
        <v>89</v>
      </c>
      <c r="C23" t="s">
        <v>88</v>
      </c>
      <c r="D23" t="s">
        <v>76</v>
      </c>
    </row>
    <row r="24" spans="1:4">
      <c r="A24" s="7" t="s">
        <v>93</v>
      </c>
      <c r="B24" t="s">
        <v>48</v>
      </c>
      <c r="C24" s="3" t="s">
        <v>90</v>
      </c>
      <c r="D24" t="s">
        <v>76</v>
      </c>
    </row>
    <row r="25" spans="1:4">
      <c r="A25">
        <v>62003016407</v>
      </c>
      <c r="B25" t="s">
        <v>91</v>
      </c>
      <c r="C25" s="3" t="s">
        <v>92</v>
      </c>
      <c r="D25" t="s">
        <v>76</v>
      </c>
    </row>
    <row r="26" spans="1:4">
      <c r="A26" s="7" t="s">
        <v>94</v>
      </c>
      <c r="B26" t="s">
        <v>95</v>
      </c>
      <c r="C26" t="s">
        <v>96</v>
      </c>
      <c r="D26" t="s">
        <v>76</v>
      </c>
    </row>
  </sheetData>
  <pageMargins left="0.7" right="0.7" top="0.75" bottom="0.75" header="0.3" footer="0.3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A7E4943-2DCB-430A-830C-82E1F3476269}">
  <dimension ref="A1:G26"/>
  <sheetViews>
    <sheetView tabSelected="1" workbookViewId="0">
      <selection activeCell="G19" sqref="G19"/>
    </sheetView>
  </sheetViews>
  <sheetFormatPr defaultRowHeight="14.4"/>
  <cols>
    <col min="1" max="1" width="21.21875" style="6" customWidth="1"/>
    <col min="2" max="2" width="19.5546875" customWidth="1"/>
    <col min="3" max="3" width="18.109375" customWidth="1"/>
    <col min="4" max="4" width="9.109375" style="15" bestFit="1" customWidth="1"/>
    <col min="6" max="6" width="12" bestFit="1" customWidth="1"/>
  </cols>
  <sheetData>
    <row r="1" spans="1:7">
      <c r="A1" s="6" t="s">
        <v>43</v>
      </c>
      <c r="B1" t="s">
        <v>41</v>
      </c>
      <c r="C1" t="s">
        <v>40</v>
      </c>
      <c r="D1" s="15" t="s">
        <v>42</v>
      </c>
    </row>
    <row r="2" spans="1:7">
      <c r="A2" t="str">
        <f>INDEX(ინფო!A:A,MATCH(C2,ინფო!C:C,0))</f>
        <v>22001020425</v>
      </c>
      <c r="B2" t="str">
        <f>INDEX(ინფო!B:B,MATCH(C2,ინფო!C:C,0))</f>
        <v>ბადრი</v>
      </c>
      <c r="C2" s="17" t="s">
        <v>11</v>
      </c>
      <c r="D2" s="17">
        <v>2904.64</v>
      </c>
      <c r="E2" s="18"/>
      <c r="F2" s="17"/>
      <c r="G2" s="17"/>
    </row>
    <row r="3" spans="1:7">
      <c r="A3" t="str">
        <f>INDEX(ინფო!A:A,MATCH(C3,ინფო!C:C,0))</f>
        <v>38001048993</v>
      </c>
      <c r="B3" t="str">
        <f>INDEX(ინფო!B:B,MATCH(C3,ინფო!C:C,0))</f>
        <v>დავითი</v>
      </c>
      <c r="C3" s="17" t="s">
        <v>30</v>
      </c>
      <c r="D3" s="17">
        <v>2573.61</v>
      </c>
      <c r="E3" s="18"/>
      <c r="F3" s="17"/>
      <c r="G3" s="17"/>
    </row>
    <row r="4" spans="1:7">
      <c r="A4" t="str">
        <f>INDEX(ინფო!A:A,MATCH(C4,ინფო!C:C,0))</f>
        <v>01010000461</v>
      </c>
      <c r="B4" t="str">
        <f>INDEX(ინფო!B:B,MATCH(C4,ინფო!C:C,0))</f>
        <v>მიხეილ</v>
      </c>
      <c r="C4" s="17" t="s">
        <v>3</v>
      </c>
      <c r="D4" s="17">
        <v>1240.08</v>
      </c>
      <c r="E4" s="18"/>
      <c r="F4" s="17"/>
      <c r="G4" s="17"/>
    </row>
    <row r="5" spans="1:7">
      <c r="A5" t="e">
        <f>INDEX(ინფო!A:A,MATCH(C5,ინფო!C:C,0))</f>
        <v>#N/A</v>
      </c>
      <c r="B5" t="e">
        <f>INDEX(ინფო!B:B,MATCH(C5,ინფო!C:C,0))</f>
        <v>#N/A</v>
      </c>
      <c r="C5" s="17"/>
      <c r="D5" s="17"/>
      <c r="E5" s="18"/>
      <c r="F5" s="17"/>
      <c r="G5" s="17"/>
    </row>
    <row r="6" spans="1:7">
      <c r="A6" t="e">
        <f>INDEX(ინფო!A:A,MATCH(C6,ინფო!C:C,0))</f>
        <v>#N/A</v>
      </c>
      <c r="B6" t="e">
        <f>INDEX(ინფო!B:B,MATCH(C6,ინფო!C:C,0))</f>
        <v>#N/A</v>
      </c>
      <c r="C6" s="17"/>
      <c r="D6" s="17"/>
      <c r="E6" s="18"/>
      <c r="F6" s="17"/>
      <c r="G6" s="17"/>
    </row>
    <row r="7" spans="1:7">
      <c r="A7" t="e">
        <f>INDEX(ინფო!A:A,MATCH(C7,ინფო!C:C,0))</f>
        <v>#N/A</v>
      </c>
      <c r="B7" t="e">
        <f>INDEX(ინფო!B:B,MATCH(C7,ინფო!C:C,0))</f>
        <v>#N/A</v>
      </c>
      <c r="C7" s="17"/>
      <c r="D7" s="17"/>
      <c r="E7" s="17"/>
      <c r="F7" s="17"/>
      <c r="G7" s="17"/>
    </row>
    <row r="8" spans="1:7">
      <c r="A8" t="e">
        <f>INDEX(ინფო!A:A,MATCH(C8,ინფო!C:C,0))</f>
        <v>#N/A</v>
      </c>
      <c r="B8" t="e">
        <f>INDEX(ინფო!B:B,MATCH(C8,ინფო!C:C,0))</f>
        <v>#N/A</v>
      </c>
      <c r="C8" s="17"/>
      <c r="D8" s="17"/>
      <c r="E8" s="17"/>
      <c r="F8" s="17"/>
      <c r="G8" s="17"/>
    </row>
    <row r="9" spans="1:7">
      <c r="A9" t="e">
        <f>INDEX(ინფო!A:A,MATCH(C9,ინფო!C:C,0))</f>
        <v>#N/A</v>
      </c>
      <c r="B9" t="e">
        <f>INDEX(ინფო!B:B,MATCH(C9,ინფო!C:C,0))</f>
        <v>#N/A</v>
      </c>
      <c r="C9" s="17"/>
      <c r="D9" s="17"/>
      <c r="E9" s="17"/>
      <c r="F9" s="17"/>
      <c r="G9" s="17"/>
    </row>
    <row r="10" spans="1:7">
      <c r="A10" t="e">
        <f>INDEX(ინფო!A:A,MATCH(C10,ინფო!C:C,0))</f>
        <v>#N/A</v>
      </c>
      <c r="B10" t="e">
        <f>INDEX(ინფო!B:B,MATCH(C10,ინფო!C:C,0))</f>
        <v>#N/A</v>
      </c>
      <c r="C10" s="17"/>
      <c r="D10" s="17"/>
      <c r="E10" s="17"/>
      <c r="F10" s="17"/>
      <c r="G10" s="17"/>
    </row>
    <row r="11" spans="1:7">
      <c r="A11" t="e">
        <f>INDEX(ინფო!A:A,MATCH(C11,ინფო!C:C,0))</f>
        <v>#N/A</v>
      </c>
      <c r="B11" t="e">
        <f>INDEX(ინფო!B:B,MATCH(C11,ინფო!C:C,0))</f>
        <v>#N/A</v>
      </c>
      <c r="C11" s="17"/>
      <c r="D11" s="17"/>
      <c r="E11" s="17"/>
      <c r="F11" s="17"/>
      <c r="G11" s="17"/>
    </row>
    <row r="12" spans="1:7">
      <c r="A12" t="e">
        <f>INDEX(ინფო!A:A,MATCH(C12,ინფო!C:C,0))</f>
        <v>#N/A</v>
      </c>
      <c r="B12" t="e">
        <f>INDEX(ინფო!B:B,MATCH(C12,ინფო!C:C,0))</f>
        <v>#N/A</v>
      </c>
      <c r="C12" s="19"/>
      <c r="D12" s="17"/>
      <c r="E12" s="17"/>
      <c r="F12" s="17"/>
      <c r="G12" s="17"/>
    </row>
    <row r="13" spans="1:7">
      <c r="A13" t="e">
        <f>INDEX(ინფო!A:A,MATCH(C13,ინფო!C:C,0))</f>
        <v>#N/A</v>
      </c>
      <c r="B13" t="e">
        <f>INDEX(ინფო!B:B,MATCH(C13,ინფო!C:C,0))</f>
        <v>#N/A</v>
      </c>
      <c r="C13" s="17"/>
      <c r="D13" s="19"/>
      <c r="E13" s="17"/>
      <c r="F13" s="17"/>
      <c r="G13" s="17"/>
    </row>
    <row r="14" spans="1:7">
      <c r="A14" t="e">
        <f>INDEX(ინფო!A:A,MATCH(C14,ინფო!C:C,0))</f>
        <v>#N/A</v>
      </c>
      <c r="B14" t="e">
        <f>INDEX(ინფო!B:B,MATCH(C14,ინფო!C:C,0))</f>
        <v>#N/A</v>
      </c>
      <c r="C14" s="17"/>
      <c r="D14" s="19"/>
      <c r="E14" s="17"/>
      <c r="F14" s="17"/>
      <c r="G14" s="17"/>
    </row>
    <row r="15" spans="1:7">
      <c r="A15" t="e">
        <f>INDEX(ინფო!A:A,MATCH(C15,ინფო!C:C,0))</f>
        <v>#N/A</v>
      </c>
      <c r="B15" t="e">
        <f>INDEX(ინფო!B:B,MATCH(C15,ინფო!C:C,0))</f>
        <v>#N/A</v>
      </c>
    </row>
    <row r="16" spans="1:7">
      <c r="A16" t="e">
        <f>INDEX(ინფო!A:A,MATCH(C16,ინფო!C:C,0))</f>
        <v>#N/A</v>
      </c>
      <c r="B16" t="e">
        <f>INDEX(ინფო!B:B,MATCH(C16,ინფო!C:C,0))</f>
        <v>#N/A</v>
      </c>
    </row>
    <row r="17" spans="1:2">
      <c r="A17" t="e">
        <f>INDEX(ინფო!A:A,MATCH(C17,ინფო!C:C,0))</f>
        <v>#N/A</v>
      </c>
      <c r="B17" t="e">
        <f>INDEX(ინფო!B:B,MATCH(C17,ინფო!C:C,0))</f>
        <v>#N/A</v>
      </c>
    </row>
    <row r="18" spans="1:2">
      <c r="A18" t="e">
        <f>INDEX(ინფო!A:A,MATCH(C18,ინფო!C:C,0))</f>
        <v>#N/A</v>
      </c>
      <c r="B18" t="e">
        <f>INDEX(ინფო!B:B,MATCH(C18,ინფო!C:C,0))</f>
        <v>#N/A</v>
      </c>
    </row>
    <row r="19" spans="1:2">
      <c r="A19"/>
    </row>
    <row r="20" spans="1:2">
      <c r="A20"/>
    </row>
    <row r="21" spans="1:2">
      <c r="A21"/>
    </row>
    <row r="22" spans="1:2">
      <c r="A22"/>
    </row>
    <row r="23" spans="1:2">
      <c r="A23"/>
    </row>
    <row r="24" spans="1:2">
      <c r="A24"/>
    </row>
    <row r="25" spans="1:2">
      <c r="A25"/>
    </row>
    <row r="26" spans="1:2">
      <c r="A26"/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21D28A8-2A04-4213-9FF0-5FC7E21D8E88}">
  <dimension ref="A1:E18"/>
  <sheetViews>
    <sheetView workbookViewId="0">
      <selection activeCell="B5" sqref="B5:C7"/>
    </sheetView>
  </sheetViews>
  <sheetFormatPr defaultRowHeight="14.4"/>
  <cols>
    <col min="1" max="1" width="9.77734375" style="13" customWidth="1"/>
    <col min="2" max="2" width="13.5546875" style="17" bestFit="1" customWidth="1"/>
    <col min="9" max="9" width="25.6640625" bestFit="1" customWidth="1"/>
  </cols>
  <sheetData>
    <row r="1" spans="1:5">
      <c r="A1"/>
      <c r="B1"/>
    </row>
    <row r="2" spans="1:5">
      <c r="A2"/>
      <c r="B2"/>
    </row>
    <row r="3" spans="1:5">
      <c r="A3"/>
      <c r="B3"/>
    </row>
    <row r="4" spans="1:5">
      <c r="A4"/>
      <c r="B4"/>
    </row>
    <row r="5" spans="1:5">
      <c r="A5"/>
      <c r="B5" s="16" t="s">
        <v>11</v>
      </c>
      <c r="C5" s="16">
        <v>2904.64</v>
      </c>
    </row>
    <row r="6" spans="1:5">
      <c r="A6"/>
      <c r="B6" s="16" t="s">
        <v>30</v>
      </c>
      <c r="C6" s="16">
        <v>2573.61</v>
      </c>
      <c r="E6" s="15"/>
    </row>
    <row r="7" spans="1:5">
      <c r="A7"/>
      <c r="B7" s="16" t="s">
        <v>3</v>
      </c>
      <c r="C7" s="16">
        <v>1240.08</v>
      </c>
      <c r="E7" s="15"/>
    </row>
    <row r="8" spans="1:5">
      <c r="A8"/>
      <c r="B8" s="16"/>
      <c r="C8" s="16"/>
      <c r="E8" s="15"/>
    </row>
    <row r="9" spans="1:5">
      <c r="A9"/>
      <c r="B9"/>
      <c r="E9" s="15"/>
    </row>
    <row r="10" spans="1:5">
      <c r="A10"/>
      <c r="B10"/>
      <c r="E10" s="15"/>
    </row>
    <row r="11" spans="1:5">
      <c r="A11"/>
      <c r="B11"/>
      <c r="E11" s="15"/>
    </row>
    <row r="12" spans="1:5">
      <c r="A12"/>
      <c r="B12"/>
    </row>
    <row r="13" spans="1:5">
      <c r="A13"/>
      <c r="B13"/>
    </row>
    <row r="14" spans="1:5">
      <c r="A14"/>
      <c r="B14"/>
    </row>
    <row r="15" spans="1:5">
      <c r="A15"/>
      <c r="B15"/>
    </row>
    <row r="16" spans="1:5">
      <c r="A16"/>
      <c r="B16"/>
    </row>
    <row r="17" spans="1:2">
      <c r="A17"/>
      <c r="B17"/>
    </row>
    <row r="18" spans="1:2">
      <c r="A18"/>
      <c r="B18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გადასატანი</vt:lpstr>
      <vt:lpstr>ინფო</vt:lpstr>
      <vt:lpstr>თანხები</vt:lpstr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nino kharazishvilli</dc:creator>
  <cp:lastModifiedBy>nino kharazishvilli</cp:lastModifiedBy>
  <dcterms:created xsi:type="dcterms:W3CDTF">2015-06-05T18:17:20Z</dcterms:created>
  <dcterms:modified xsi:type="dcterms:W3CDTF">2026-08-12T09:35:43Z</dcterms:modified>
</cp:coreProperties>
</file>