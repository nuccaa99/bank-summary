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27CAA14D-596F-4C92-ACA6-A98D5E051AE2}" xr6:coauthVersionLast="37" xr6:coauthVersionMax="37" xr10:uidLastSave="{00000000-0000-0000-0000-000000000000}"/>
  <bookViews>
    <workbookView xWindow="0" yWindow="0" windowWidth="22260" windowHeight="12650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B13" i="2" l="1"/>
  <c r="B14" i="2"/>
  <c r="B15" i="2"/>
  <c r="B16" i="2"/>
  <c r="B17" i="2"/>
  <c r="B18" i="2"/>
  <c r="A12" i="2"/>
  <c r="A13" i="2"/>
  <c r="A14" i="2"/>
  <c r="A15" i="2"/>
  <c r="A16" i="2"/>
  <c r="A17" i="2"/>
  <c r="A18" i="2"/>
  <c r="B12" i="2"/>
  <c r="A11" i="2" l="1"/>
  <c r="B11" i="2"/>
  <c r="A9" i="2" l="1"/>
  <c r="B9" i="2" l="1"/>
  <c r="F13" i="1" l="1"/>
  <c r="F14" i="1"/>
  <c r="F15" i="1"/>
  <c r="F16" i="1"/>
  <c r="F17" i="1"/>
  <c r="F18" i="1"/>
  <c r="C13" i="1"/>
  <c r="C14" i="1"/>
  <c r="C15" i="1"/>
  <c r="C16" i="1"/>
  <c r="C17" i="1"/>
  <c r="C18" i="1"/>
  <c r="B13" i="1"/>
  <c r="B14" i="1"/>
  <c r="B15" i="1"/>
  <c r="B16" i="1"/>
  <c r="B17" i="1"/>
  <c r="B18" i="1"/>
  <c r="A3" i="2"/>
  <c r="B3" i="2"/>
  <c r="A4" i="2"/>
  <c r="B4" i="2"/>
  <c r="A5" i="2"/>
  <c r="B5" i="2"/>
  <c r="A6" i="2"/>
  <c r="B6" i="2"/>
  <c r="A7" i="2"/>
  <c r="B7" i="2"/>
  <c r="A8" i="2"/>
  <c r="B8" i="2"/>
  <c r="A10" i="2"/>
  <c r="B10" i="2"/>
  <c r="B2" i="2"/>
  <c r="E17" i="1" l="1"/>
  <c r="E16" i="1"/>
  <c r="E15" i="1"/>
  <c r="E18" i="1"/>
  <c r="E14" i="1"/>
  <c r="E13" i="1"/>
  <c r="E12" i="1" l="1"/>
  <c r="F12" i="1"/>
  <c r="B12" i="1"/>
  <c r="C12" i="1"/>
  <c r="E11" i="1" l="1"/>
  <c r="B11" i="1"/>
  <c r="F11" i="1"/>
  <c r="C11" i="1"/>
  <c r="B10" i="1" l="1"/>
  <c r="E10" i="1"/>
  <c r="F10" i="1"/>
  <c r="F7" i="1"/>
  <c r="B7" i="1"/>
  <c r="E7" i="1"/>
  <c r="B9" i="1"/>
  <c r="F9" i="1"/>
  <c r="C9" i="1"/>
  <c r="E9" i="1"/>
  <c r="C7" i="1"/>
  <c r="E8" i="1"/>
  <c r="F8" i="1"/>
  <c r="B8" i="1"/>
  <c r="C10" i="1"/>
  <c r="C8" i="1"/>
  <c r="E6" i="1" l="1"/>
  <c r="B6" i="1"/>
  <c r="F6" i="1"/>
  <c r="F4" i="1"/>
  <c r="E4" i="1"/>
  <c r="B4" i="1"/>
  <c r="B2" i="1"/>
  <c r="F2" i="1"/>
  <c r="E2" i="1"/>
  <c r="C2" i="1"/>
  <c r="C4" i="1"/>
  <c r="C6" i="1"/>
  <c r="F3" i="1"/>
  <c r="B3" i="1"/>
  <c r="E3" i="1"/>
  <c r="F5" i="1"/>
  <c r="B5" i="1"/>
  <c r="E5" i="1"/>
  <c r="C3" i="1"/>
  <c r="C5" i="1"/>
</calcChain>
</file>

<file path=xl/sharedStrings.xml><?xml version="1.0" encoding="utf-8"?>
<sst xmlns="http://schemas.openxmlformats.org/spreadsheetml/2006/main" count="147" uniqueCount="97">
  <si>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</si>
  <si>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</si>
  <si>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</si>
  <si>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</si>
  <si>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</si>
  <si>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</si>
  <si>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</si>
  <si>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</si>
  <si>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</si>
  <si>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</si>
  <si>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</si>
  <si>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</si>
  <si>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</si>
  <si>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</si>
  <si>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</si>
  <si>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</si>
  <si>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</si>
  <si>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</si>
  <si>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</si>
  <si>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</si>
  <si>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</si>
  <si>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</si>
  <si>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</si>
  <si>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</si>
  <si>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</si>
  <si>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</si>
  <si>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</si>
  <si>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</si>
  <si>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</si>
  <si>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</si>
  <si>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</si>
  <si>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</si>
  <si>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</si>
  <si>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</si>
  <si>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</si>
  <si>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</si>
  <si>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</si>
  <si>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</si>
  <si>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</si>
  <si>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</si>
  <si>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</si>
  <si>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</si>
  <si>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</si>
  <si>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</si>
  <si>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</si>
  <si>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</si>
  <si>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</si>
  <si>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</si>
  <si>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</si>
  <si>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</si>
  <si>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</si>
  <si>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</si>
  <si>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</si>
  <si>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</si>
  <si>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</si>
  <si>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</si>
  <si>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</si>
  <si>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</si>
  <si>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</si>
  <si>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</si>
  <si>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</si>
  <si>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</si>
  <si>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</si>
  <si>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</si>
  <si>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</si>
  <si>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</si>
  <si>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</si>
  <si>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</si>
  <si>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</si>
  <si>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</si>
  <si>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</si>
  <si>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</si>
  <si>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</si>
  <si>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</si>
  <si>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</si>
  <si>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</si>
  <si>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</si>
  <si>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</si>
  <si>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</si>
  <si>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</si>
  <si>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</si>
  <si>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</si>
  <si>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</si>
  <si>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</si>
  <si>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</si>
  <si>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</si>
  <si>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</si>
  <si>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</si>
  <si>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</si>
  <si>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</si>
  <si>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</si>
  <si>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</si>
  <si>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</si>
  <si>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</si>
  <si>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62002006157</t>
  </si>
  <si>
    <t>ლიანა</t>
  </si>
  <si>
    <t>მხეიძე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</si>
</sst>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3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6"/>
  <sheetViews>
    <sheetView tabSelected="1" workbookViewId="0">
      <selection activeCell="E2" sqref="E2:E6"/>
    </sheetView>
  </sheetViews>
  <sheetFormatPr defaultRowHeight="14.5"/>
  <cols>
    <col min="1" max="1" width="33.6328125" customWidth="1"/>
    <col min="2" max="2" width="26.1796875" style="5" bestFit="1" customWidth="1"/>
    <col min="3" max="3" width="24.6328125" bestFit="1" customWidth="1"/>
    <col min="4" max="4" width="53.1796875" customWidth="1"/>
    <col min="6" max="6" width="14.36328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>
        <v>62003016407</v>
      </c>
      <c r="B2" s="8" t="str">
        <f>INDEX(ინფო!B:B,MATCH(A2,ინფო!A:A,0))</f>
        <v>დავით</v>
      </c>
      <c r="C2" s="8" t="str">
        <f>INDEX(ინფო!C:C,MATCH(A2,ინფო!A:A,0))</f>
        <v>სვირავა</v>
      </c>
      <c r="D2" s="8" t="s">
        <v>0</v>
      </c>
      <c r="E2">
        <f>INDEX(თანხები!D:D,MATCH(A2,თანხები!A:A,0))</f>
        <v>3740.44</v>
      </c>
      <c r="F2" s="5" t="str">
        <f>INDEX(ინფო!D:D,MATCH(A2,ინფო!A:A,0))</f>
        <v>თბილისი</v>
      </c>
      <c r="G2" s="4" t="s">
        <v>1</v>
      </c>
    </row>
    <row r="3" spans="1:7">
      <c r="A3">
        <v>47001040600</v>
      </c>
      <c r="B3" s="8" t="str">
        <f>INDEX(ინფო!B:B,MATCH(A3,ინფო!A:A,0))</f>
        <v>რობერტ</v>
      </c>
      <c r="C3" s="8" t="str">
        <f>INDEX(ინფო!C:C,MATCH(A3,ინფო!A:A,0))</f>
        <v>ელოიძე</v>
      </c>
      <c r="D3" s="8" t="s">
        <v>0</v>
      </c>
      <c r="E3">
        <f>INDEX(თანხები!D:D,MATCH(A3,თანხები!A:A,0))</f>
        <v>1368.47</v>
      </c>
      <c r="F3" s="5" t="str">
        <f>INDEX(ინფო!D:D,MATCH(A3,ინფო!A:A,0))</f>
        <v>თბილისი</v>
      </c>
      <c r="G3" s="4" t="s">
        <v>1</v>
      </c>
    </row>
    <row r="4" spans="1:7">
      <c r="A4" t="s">
        <v>32</v>
      </c>
      <c r="B4" s="8" t="str">
        <f>INDEX(ინფო!B:B,MATCH(A4,ინფო!A:A,0))</f>
        <v>დავითი</v>
      </c>
      <c r="C4" s="8" t="str">
        <f>INDEX(ინფო!C:C,MATCH(A4,ინფო!A:A,0))</f>
        <v>საყვარელიძე</v>
      </c>
      <c r="D4" s="8" t="s">
        <v>0</v>
      </c>
      <c r="E4">
        <f>INDEX(თანხები!D:D,MATCH(A4,თანხები!A:A,0))</f>
        <v>1326</v>
      </c>
      <c r="F4" s="5" t="str">
        <f>INDEX(ინფო!D:D,MATCH(A4,ინფო!A:A,0))</f>
        <v>თბილისი გუდამაყრის ქ. N 2 ბ. 102</v>
      </c>
      <c r="G4" s="4" t="s">
        <v>1</v>
      </c>
    </row>
    <row r="5" spans="1:7">
      <c r="A5" t="s">
        <v>24</v>
      </c>
      <c r="B5" s="8" t="str">
        <f>INDEX(ინფო!B:B,MATCH(A5,ინფო!A:A,0))</f>
        <v>გიორგი</v>
      </c>
      <c r="C5" s="8" t="str">
        <f>INDEX(ინფო!C:C,MATCH(A5,ინფო!A:A,0))</f>
        <v>მელაძე</v>
      </c>
      <c r="D5" s="8" t="s">
        <v>0</v>
      </c>
      <c r="E5">
        <f>INDEX(თანხები!D:D,MATCH(A5,თანხები!A:A,0))</f>
        <v>1267.17</v>
      </c>
      <c r="F5" s="5" t="str">
        <f>INDEX(ინფო!D:D,MATCH(A5,ინფო!A:A,0))</f>
        <v>საქართველო, ქალაქი თბილისი, ნიკოლოზ ანთელავას ქუჩა, N 4(ყოფ. პ. იბერის ქ.)</v>
      </c>
      <c r="G5" s="4" t="s">
        <v>1</v>
      </c>
    </row>
    <row r="6" spans="1:7">
      <c r="A6" t="s">
        <v>64</v>
      </c>
      <c r="B6" s="8" t="str">
        <f>INDEX(ინფო!B:B,MATCH(A6,ინფო!A:A,0))</f>
        <v>ბადრი</v>
      </c>
      <c r="C6" s="8" t="str">
        <f>INDEX(ინფო!C:C,MATCH(A6,ინფო!A:A,0))</f>
        <v>სირაძე</v>
      </c>
      <c r="D6" s="8" t="s">
        <v>0</v>
      </c>
      <c r="E6">
        <f>INDEX(თანხები!D:D,MATCH(A6,თანხები!A:A,0))</f>
        <v>1114</v>
      </c>
      <c r="F6" s="5" t="str">
        <f>INDEX(ინფო!D:D,MATCH(A6,ინფო!A:A,0))</f>
        <v>თბილისი გარდაბნის გზატ. N 42</v>
      </c>
      <c r="G6" s="4" t="s">
        <v>1</v>
      </c>
    </row>
    <row r="7" spans="1:7">
      <c r="B7" s="8" t="e">
        <f>INDEX(ინფო!B:B,MATCH(A7,ინფო!A:A,0))</f>
        <v>#N/A</v>
      </c>
      <c r="C7" s="8" t="e">
        <f>INDEX(ინფო!C:C,MATCH(A7,ინფო!A:A,0))</f>
        <v>#N/A</v>
      </c>
      <c r="D7" s="8" t="s">
        <v>0</v>
      </c>
      <c r="E7" t="e">
        <f>INDEX(თანხები!D:D,MATCH(A7,თანხები!A:A,0))</f>
        <v>#N/A</v>
      </c>
      <c r="F7" s="5" t="e">
        <f>INDEX(ინფო!D:D,MATCH(A7,ინფო!A:A,0))</f>
        <v>#N/A</v>
      </c>
      <c r="G7" s="4" t="s">
        <v>1</v>
      </c>
    </row>
    <row r="8" spans="1:7">
      <c r="B8" s="8" t="e">
        <f>INDEX(ინფო!B:B,MATCH(A8,ინფო!A:A,0))</f>
        <v>#N/A</v>
      </c>
      <c r="C8" s="8" t="e">
        <f>INDEX(ინფო!C:C,MATCH(A8,ინფო!A:A,0))</f>
        <v>#N/A</v>
      </c>
      <c r="D8" s="8" t="s">
        <v>0</v>
      </c>
      <c r="E8" t="e">
        <f>INDEX(თანხები!D:D,MATCH(A8,თანხები!A:A,0))</f>
        <v>#N/A</v>
      </c>
      <c r="F8" s="5" t="e">
        <f>INDEX(ინფო!D:D,MATCH(A8,ინფო!A:A,0))</f>
        <v>#N/A</v>
      </c>
      <c r="G8" s="4" t="s">
        <v>1</v>
      </c>
    </row>
    <row r="9" spans="1:7">
      <c r="B9" s="8" t="e">
        <f>INDEX(ინფო!B:B,MATCH(A9,ინფო!A:A,0))</f>
        <v>#N/A</v>
      </c>
      <c r="C9" s="8" t="e">
        <f>INDEX(ინფო!C:C,MATCH(A9,ინფო!A:A,0))</f>
        <v>#N/A</v>
      </c>
      <c r="D9" s="8">
        <v>8</v>
      </c>
      <c r="E9" t="e">
        <f>INDEX(თანხები!D:D,MATCH(A9,თანხები!A:A,0))</f>
        <v>#N/A</v>
      </c>
      <c r="F9" s="5" t="e">
        <f>INDEX(ინფო!D:D,MATCH(A9,ინფო!A:A,0))</f>
        <v>#N/A</v>
      </c>
      <c r="G9" s="4" t="s">
        <v>1</v>
      </c>
    </row>
    <row r="10" spans="1:7">
      <c r="B10" s="8" t="e">
        <f>INDEX(ინფო!B:B,MATCH(A10,ინფო!A:A,0))</f>
        <v>#N/A</v>
      </c>
      <c r="C10" s="8" t="e">
        <f>INDEX(ინფო!C:C,MATCH(A10,ინფო!A:A,0))</f>
        <v>#N/A</v>
      </c>
      <c r="D10" s="8">
        <v>8</v>
      </c>
      <c r="E10" t="e">
        <f>INDEX(თანხები!D:D,MATCH(A10,თანხები!A:A,0))</f>
        <v>#N/A</v>
      </c>
      <c r="F10" s="5" t="e">
        <f>INDEX(ინფო!D:D,MATCH(A10,ინფო!A:A,0))</f>
        <v>#N/A</v>
      </c>
      <c r="G10" s="4" t="s">
        <v>1</v>
      </c>
    </row>
    <row r="11" spans="1:7">
      <c r="B11" s="8" t="e">
        <f>INDEX(ინფო!B:B,MATCH(A11,ინფო!A:A,0))</f>
        <v>#N/A</v>
      </c>
      <c r="C11" s="8" t="e">
        <f>INDEX(ინფო!C:C,MATCH(A11,ინფო!A:A,0))</f>
        <v>#N/A</v>
      </c>
      <c r="D11" s="8">
        <v>8</v>
      </c>
      <c r="E11" t="e">
        <f>INDEX(თანხები!D:D,MATCH(A11,თანხები!A:A,0))</f>
        <v>#N/A</v>
      </c>
      <c r="F11" s="5" t="e">
        <f>INDEX(ინფო!D:D,MATCH(A11,ინფო!A:A,0))</f>
        <v>#N/A</v>
      </c>
      <c r="G11" s="4" t="s">
        <v>1</v>
      </c>
    </row>
    <row r="12" spans="1:7">
      <c r="B12" s="8" t="e">
        <f>INDEX(ინფო!B:B,MATCH(A12,ინფო!A:A,0))</f>
        <v>#N/A</v>
      </c>
      <c r="C12" s="8" t="e">
        <f>INDEX(ინფო!C:C,MATCH(A12,ინფო!A:A,0))</f>
        <v>#N/A</v>
      </c>
      <c r="D12" s="8">
        <v>8</v>
      </c>
      <c r="E12" t="e">
        <f>INDEX(თანხები!D:D,MATCH(A12,თანხები!A:A,0))</f>
        <v>#N/A</v>
      </c>
      <c r="F12" s="5" t="e">
        <f>INDEX(ინფო!D:D,MATCH(A12,ინფო!A:A,0))</f>
        <v>#N/A</v>
      </c>
      <c r="G12" s="4" t="s">
        <v>1</v>
      </c>
    </row>
    <row r="13" spans="1:7">
      <c r="B13" s="8" t="e">
        <f>INDEX(ინფო!B:B,MATCH(A13,ინფო!A:A,0))</f>
        <v>#N/A</v>
      </c>
      <c r="C13" s="8" t="e">
        <f>INDEX(ინფო!C:C,MATCH(A13,ინფო!A:A,0))</f>
        <v>#N/A</v>
      </c>
      <c r="D13" s="8">
        <v>8</v>
      </c>
      <c r="E13" t="e">
        <f>INDEX(თანხები!D:D,MATCH(A13,თანხები!A:A,0))</f>
        <v>#N/A</v>
      </c>
      <c r="F13" s="5" t="e">
        <f>INDEX(ინფო!D:D,MATCH(A13,ინფო!A:A,0))</f>
        <v>#N/A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8" spans="2:7">
      <c r="B18" s="8" t="e">
        <f>INDEX(ინფო!B:B,MATCH(A18,ინფო!A:A,0))</f>
        <v>#N/A</v>
      </c>
      <c r="C18" s="8" t="e">
        <f>INDEX(ინფო!C:C,MATCH(A18,ინფო!A:A,0))</f>
        <v>#N/A</v>
      </c>
      <c r="D18" s="8">
        <v>8</v>
      </c>
      <c r="E18" t="e">
        <f>INDEX(თანხები!D:D,MATCH(A18,თანხები!A:A,0))</f>
        <v>#N/A</v>
      </c>
      <c r="F18" s="5" t="e">
        <f>INDEX(ინფო!D:D,MATCH(A18,ინფო!A:A,0))</f>
        <v>#N/A</v>
      </c>
      <c r="G18" s="4" t="s">
        <v>1</v>
      </c>
    </row>
    <row r="1048576" spans="7:7">
      <c r="G104857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26"/>
  <sheetViews>
    <sheetView workbookViewId="0">
      <selection activeCell="C29" sqref="C29"/>
    </sheetView>
  </sheetViews>
  <sheetFormatPr defaultRowHeight="14.5"/>
  <cols>
    <col min="1" max="1" width="12" bestFit="1" customWidth="1"/>
    <col min="2" max="2" width="12.1796875" customWidth="1"/>
    <col min="3" max="3" width="16.08984375" customWidth="1"/>
    <col min="4" max="4" width="87.36328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94</v>
      </c>
      <c r="B26" t="s">
        <v>95</v>
      </c>
      <c r="C26" t="s">
        <v>96</v>
      </c>
      <c r="D26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" sqref="A2:A6"/>
    </sheetView>
  </sheetViews>
  <sheetFormatPr defaultRowHeight="14.5"/>
  <cols>
    <col min="1" max="1" width="21.1796875" style="6" customWidth="1"/>
    <col min="2" max="2" width="19.54296875" customWidth="1"/>
    <col min="3" max="3" width="18.08984375" customWidth="1"/>
    <col min="4" max="4" width="9.08984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>
        <f>INDEX(ინფო!A:A,MATCH(C2,ინფო!C:C,0))</f>
        <v>62003016407</v>
      </c>
      <c r="B2" t="str">
        <f>INDEX(ინფო!B:B,MATCH(C2,ინფო!C:C,0))</f>
        <v>დავით</v>
      </c>
      <c r="C2" s="18" t="s">
        <v>92</v>
      </c>
      <c r="D2" s="18">
        <v>3740.44</v>
      </c>
      <c r="E2" s="5"/>
    </row>
    <row r="3" spans="1:5">
      <c r="A3">
        <f>INDEX(ინფო!A:A,MATCH(C3,ინფო!C:C,0))</f>
        <v>47001040600</v>
      </c>
      <c r="B3" t="str">
        <f>INDEX(ინფო!B:B,MATCH(C3,ინფო!C:C,0))</f>
        <v>რობერტ</v>
      </c>
      <c r="C3" s="18" t="s">
        <v>86</v>
      </c>
      <c r="D3" s="18">
        <v>1368.47</v>
      </c>
      <c r="E3" s="5"/>
    </row>
    <row r="4" spans="1:5">
      <c r="A4" t="str">
        <f>INDEX(ინფო!A:A,MATCH(C4,ინფო!C:C,0))</f>
        <v>38001048993</v>
      </c>
      <c r="B4" t="str">
        <f>INDEX(ინფო!B:B,MATCH(C4,ინფო!C:C,0))</f>
        <v>დავითი</v>
      </c>
      <c r="C4" s="18" t="s">
        <v>30</v>
      </c>
      <c r="D4" s="18">
        <v>1326</v>
      </c>
      <c r="E4" s="5"/>
    </row>
    <row r="5" spans="1:5">
      <c r="A5" t="str">
        <f>INDEX(ინფო!A:A,MATCH(C5,ინფო!C:C,0))</f>
        <v>01030053229</v>
      </c>
      <c r="B5" t="str">
        <f>INDEX(ინფო!B:B,MATCH(C5,ინფო!C:C,0))</f>
        <v>გიორგი</v>
      </c>
      <c r="C5" s="18" t="s">
        <v>22</v>
      </c>
      <c r="D5" s="18">
        <v>1267.17</v>
      </c>
      <c r="E5" s="5"/>
    </row>
    <row r="6" spans="1:5">
      <c r="A6" t="str">
        <f>INDEX(ინფო!A:A,MATCH(C6,ინფო!C:C,0))</f>
        <v>22001020425</v>
      </c>
      <c r="B6" t="str">
        <f>INDEX(ინფო!B:B,MATCH(C6,ინფო!C:C,0))</f>
        <v>ბადრი</v>
      </c>
      <c r="C6" s="18" t="s">
        <v>11</v>
      </c>
      <c r="D6" s="18">
        <v>1114</v>
      </c>
      <c r="E6" s="5"/>
    </row>
    <row r="7" spans="1:5">
      <c r="A7" t="e">
        <f>INDEX(ინფო!A:A,MATCH(C7,ინფო!C:C,0))</f>
        <v>#N/A</v>
      </c>
      <c r="B7" t="e">
        <f>INDEX(ინფო!B:B,MATCH(C7,ინფო!C:C,0))</f>
        <v>#N/A</v>
      </c>
      <c r="D7" s="18"/>
    </row>
    <row r="8" spans="1:5">
      <c r="A8" t="e">
        <f>INDEX(ინფო!A:A,MATCH(C8,ინფო!C:C,0))</f>
        <v>#N/A</v>
      </c>
      <c r="B8" t="e">
        <f>INDEX(ინფო!B:B,MATCH(C8,ინფო!C:C,0))</f>
        <v>#N/A</v>
      </c>
      <c r="D8" s="18"/>
    </row>
    <row r="9" spans="1:5">
      <c r="A9" t="e">
        <f>INDEX(ინფო!A:A,MATCH(C9,ინფო!C:C,0))</f>
        <v>#N/A</v>
      </c>
      <c r="B9" t="e">
        <f>INDEX(ინფო!B:B,MATCH(C9,ინფო!C:C,0))</f>
        <v>#N/A</v>
      </c>
      <c r="D9" s="18"/>
    </row>
    <row r="10" spans="1:5">
      <c r="A10" t="e">
        <f>INDEX(ინფო!A:A,MATCH(C10,ინფო!C:C,0))</f>
        <v>#N/A</v>
      </c>
      <c r="B10" t="e">
        <f>INDEX(ინფო!B:B,MATCH(C10,ინფო!C:C,0))</f>
        <v>#N/A</v>
      </c>
      <c r="D10" s="18"/>
    </row>
    <row r="11" spans="1:5">
      <c r="A11" t="e">
        <f>INDEX(ინფო!A:A,MATCH(C11,ინფო!C:C,0))</f>
        <v>#N/A</v>
      </c>
      <c r="B11" t="e">
        <f>INDEX(ინფო!B:B,MATCH(C11,ინფო!C:C,0))</f>
        <v>#N/A</v>
      </c>
      <c r="D11"/>
    </row>
    <row r="12" spans="1:5">
      <c r="A12" t="e">
        <f>INDEX(ინფო!A:A,MATCH(C12,ინფო!C:C,0))</f>
        <v>#N/A</v>
      </c>
      <c r="B12" t="e">
        <f>INDEX(ინფო!B:B,MATCH(C12,ინფო!C:C,0))</f>
        <v>#N/A</v>
      </c>
      <c r="C12" s="17"/>
      <c r="D12"/>
    </row>
    <row r="13" spans="1:5">
      <c r="A13" t="e">
        <f>INDEX(ინფო!A:A,MATCH(C13,ინფო!C:C,0))</f>
        <v>#N/A</v>
      </c>
      <c r="B13" t="e">
        <f>INDEX(ინფო!B:B,MATCH(C13,ინფო!C:C,0))</f>
        <v>#N/A</v>
      </c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2:M11"/>
  <sheetViews>
    <sheetView workbookViewId="0">
      <selection activeCell="C6" sqref="C6:D10"/>
    </sheetView>
  </sheetViews>
  <sheetFormatPr defaultRowHeight="14.5"/>
  <cols>
    <col min="1" max="1" width="9.81640625" style="13" customWidth="1"/>
    <col min="2" max="2" width="13.54296875" style="19" bestFit="1" customWidth="1"/>
    <col min="9" max="9" width="25.6328125" bestFit="1" customWidth="1"/>
  </cols>
  <sheetData>
    <row r="2" spans="1:13">
      <c r="B2" s="18"/>
      <c r="C2" s="18"/>
      <c r="D2" s="18"/>
    </row>
    <row r="3" spans="1:13">
      <c r="B3" s="18"/>
      <c r="C3" s="18"/>
      <c r="D3" s="18"/>
    </row>
    <row r="4" spans="1:13">
      <c r="B4" s="18"/>
      <c r="C4" s="18"/>
      <c r="D4" s="18"/>
    </row>
    <row r="5" spans="1:13">
      <c r="A5" s="14"/>
      <c r="C5" s="18"/>
      <c r="D5" s="18"/>
    </row>
    <row r="6" spans="1:13">
      <c r="A6" s="15"/>
      <c r="C6" s="18" t="s">
        <v>92</v>
      </c>
      <c r="D6" s="18">
        <v>3740.44</v>
      </c>
      <c r="M6" s="17"/>
    </row>
    <row r="7" spans="1:13">
      <c r="C7" s="18" t="s">
        <v>86</v>
      </c>
      <c r="D7" s="18">
        <v>1368.47</v>
      </c>
      <c r="M7" s="17"/>
    </row>
    <row r="8" spans="1:13">
      <c r="A8" s="15"/>
      <c r="C8" s="18" t="s">
        <v>30</v>
      </c>
      <c r="D8" s="18">
        <v>1326</v>
      </c>
      <c r="M8" s="17"/>
    </row>
    <row r="9" spans="1:13">
      <c r="A9" s="15"/>
      <c r="C9" s="18" t="s">
        <v>22</v>
      </c>
      <c r="D9" s="18">
        <v>1267.17</v>
      </c>
      <c r="M9" s="17"/>
    </row>
    <row r="10" spans="1:13">
      <c r="A10" s="15"/>
      <c r="C10" s="18" t="s">
        <v>11</v>
      </c>
      <c r="D10" s="18">
        <v>1114</v>
      </c>
      <c r="M10" s="17"/>
    </row>
    <row r="11" spans="1:13">
      <c r="A11" s="15"/>
      <c r="C11" s="18"/>
      <c r="M1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nika kurtskhalia</cp:lastModifiedBy>
  <dcterms:created xsi:type="dcterms:W3CDTF">2015-06-05T18:17:20Z</dcterms:created>
  <dcterms:modified xsi:type="dcterms:W3CDTF">2026-06-05T14:34:02Z</dcterms:modified>
</cp:coreProperties>
</file>