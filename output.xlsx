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nana\bank-summary\"/>
    </mc:Choice>
  </mc:AlternateContent>
  <xr:revisionPtr revIDLastSave="0" documentId="13_ncr:1_{78E19EFD-288C-41EE-818A-FB411005EFD1}" xr6:coauthVersionLast="36" xr6:coauthVersionMax="37" xr10:uidLastSave="{00000000-0000-0000-0000-000000000000}"/>
  <bookViews>
    <workbookView xWindow="0" yWindow="0" windowWidth="19200" windowHeight="6816" activeTab="1" xr2:uid="{00000000-000D-0000-FFFF-FFFF00000000}"/>
  </bookViews>
  <sheets>
    <sheet name="Results" sheetId="1" r:id="rId1"/>
    <sheet name="Summary" sheetId="2" r:id="rId2"/>
    <sheet name="Salary" sheetId="3" r:id="rId3"/>
    <sheet name="მომსახ დელ" sheetId="4" r:id="rId4"/>
    <sheet name="მომსახ ცელ" sheetId="5" r:id="rId5"/>
    <sheet name="ზუკა" sheetId="6" r:id="rId6"/>
    <sheet name="ირმა" sheetId="7" r:id="rId7"/>
  </sheets>
  <calcPr calcId="191029"/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F8" i="2"/>
  <c r="F7" i="2"/>
  <c r="F6" i="2"/>
  <c r="F5" i="2"/>
  <c r="F4" i="2"/>
  <c r="F3" i="2"/>
  <c r="F2" i="2"/>
  <c r="F3" i="3" l="1"/>
  <c r="F4" i="3"/>
  <c r="F5" i="3"/>
  <c r="F6" i="3"/>
  <c r="F7" i="3"/>
  <c r="F8" i="3"/>
  <c r="F9" i="3"/>
  <c r="F10" i="3"/>
  <c r="F11" i="3"/>
  <c r="F12" i="3"/>
  <c r="F2" i="3"/>
  <c r="D5" i="7" l="1"/>
  <c r="C5" i="7"/>
  <c r="D5" i="6"/>
  <c r="C5" i="6"/>
</calcChain>
</file>

<file path=xl/sharedStrings.xml><?xml version="1.0" encoding="utf-8"?>
<sst xmlns="http://schemas.openxmlformats.org/spreadsheetml/2006/main" count="222" uniqueCount="39">
  <si>
    <t>Bank</t>
  </si>
  <si>
    <t>Partner Name</t>
  </si>
  <si>
    <t>Source File</t>
  </si>
  <si>
    <t>Total Amount</t>
  </si>
  <si>
    <t>BOG</t>
  </si>
  <si>
    <t>ელოიძე რობერტ</t>
  </si>
  <si>
    <t>დელ BOG.xlsx</t>
  </si>
  <si>
    <t>ელიშაკოვი ლუკას</t>
  </si>
  <si>
    <t>კვარაცხელია ნინო</t>
  </si>
  <si>
    <t>მელაძე გიორგი</t>
  </si>
  <si>
    <t>--- დელ BOG.xlsx TOTAL ---</t>
  </si>
  <si>
    <t>TBC</t>
  </si>
  <si>
    <t>დავითი საყვარელიძე</t>
  </si>
  <si>
    <t>დელ TBC.xlsx</t>
  </si>
  <si>
    <t>საბა ცაგარეიშვილი</t>
  </si>
  <si>
    <t>ი/მ გიორგი მეტრეველი</t>
  </si>
  <si>
    <t>ბადრი სირაძე</t>
  </si>
  <si>
    <t>ოთარ კუპრეიშვილი</t>
  </si>
  <si>
    <t>მიხეილ ლომჯარია</t>
  </si>
  <si>
    <t>დავით სვირავა</t>
  </si>
  <si>
    <t>საბა კუპატაძე</t>
  </si>
  <si>
    <t>--- დელ TBC.xlsx TOTAL ---</t>
  </si>
  <si>
    <t>ცელერისი TBC.xlsx</t>
  </si>
  <si>
    <t>--- ცელერისი TBC.xlsx TOTAL ---</t>
  </si>
  <si>
    <t>დელ TBC.xlsx, ცელერისი TBC.xlsx</t>
  </si>
  <si>
    <t>BOG, TBC</t>
  </si>
  <si>
    <t>დელ BOG.xlsx, დელ TBC.xlsx, ცელერისი TBC.xlsx</t>
  </si>
  <si>
    <t>დელ BOG.xlsx, დელ TBC.xlsx</t>
  </si>
  <si>
    <t>--- GRAND TOTAL ---</t>
  </si>
  <si>
    <t>Date</t>
  </si>
  <si>
    <t>Amount</t>
  </si>
  <si>
    <t>ზურაბი  თომაძე</t>
  </si>
  <si>
    <t>ნანა კურცხალია</t>
  </si>
  <si>
    <t>მარიამი გულბანი</t>
  </si>
  <si>
    <t>--- TOTAL ---</t>
  </si>
  <si>
    <t>ალექსანდრე ლეჟავა</t>
  </si>
  <si>
    <t>ქირა</t>
  </si>
  <si>
    <t>ცელერისი შემოსავალი</t>
  </si>
  <si>
    <t>არ მომწერა კოდი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</si>
</sst>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dd/mm/yyyy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D966"/>
        <bgColor rgb="FFFFD966"/>
      </patternFill>
    </fill>
    <fill>
      <patternFill patternType="solid">
        <fgColor rgb="FFD9E1F2"/>
        <bgColor rgb="FFD9E1F2"/>
      </patternFill>
    </fill>
    <fill>
      <patternFill patternType="solid">
        <fgColor theme="6"/>
        <bgColor rgb="FFF2F2F2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FD9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4" borderId="0" xfId="0" applyFont="1" applyFill="1"/>
    <xf numFmtId="164" fontId="0" fillId="5" borderId="0" xfId="0" applyNumberFormat="1" applyFill="1"/>
    <xf numFmtId="0" fontId="0" fillId="5" borderId="0" xfId="0" applyFill="1"/>
    <xf numFmtId="164" fontId="5" fillId="0" borderId="0" xfId="0" applyNumberFormat="1" applyFont="1"/>
    <xf numFmtId="43" fontId="4" fillId="0" borderId="0" xfId="1" applyFont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4" fillId="3" borderId="0" xfId="0" applyFont="1" applyFill="1"/>
    <xf numFmtId="43" fontId="0" fillId="7" borderId="0" xfId="1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opLeftCell="A7" workbookViewId="0">
      <selection activeCell="D13" sqref="D13"/>
    </sheetView>
  </sheetViews>
  <sheetFormatPr defaultRowHeight="14.4" x14ac:dyDescent="0.3"/>
  <cols>
    <col min="1" max="1" width="8" customWidth="1"/>
    <col min="2" max="2" width="35" customWidth="1"/>
    <col min="3" max="3" width="21" customWidth="1"/>
    <col min="4" max="4" width="16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4</v>
      </c>
      <c r="B2" s="2" t="s">
        <v>5</v>
      </c>
      <c r="C2" s="2" t="s">
        <v>6</v>
      </c>
      <c r="D2" s="2">
        <v>1937.16</v>
      </c>
    </row>
    <row r="3" spans="1:4" x14ac:dyDescent="0.3">
      <c r="A3" s="2" t="s">
        <v>4</v>
      </c>
      <c r="B3" s="2" t="s">
        <v>7</v>
      </c>
      <c r="C3" s="2" t="s">
        <v>6</v>
      </c>
      <c r="D3" s="2">
        <v>970.3</v>
      </c>
    </row>
    <row r="4" spans="1:4" x14ac:dyDescent="0.3">
      <c r="A4" s="2" t="s">
        <v>4</v>
      </c>
      <c r="B4" s="2" t="s">
        <v>8</v>
      </c>
      <c r="C4" s="2" t="s">
        <v>6</v>
      </c>
      <c r="D4" s="2">
        <v>850.27</v>
      </c>
    </row>
    <row r="5" spans="1:4" x14ac:dyDescent="0.3">
      <c r="A5" s="2" t="s">
        <v>4</v>
      </c>
      <c r="B5" s="2" t="s">
        <v>9</v>
      </c>
      <c r="C5" s="2" t="s">
        <v>6</v>
      </c>
      <c r="D5" s="2">
        <v>200</v>
      </c>
    </row>
    <row r="6" spans="1:4" x14ac:dyDescent="0.3">
      <c r="A6" s="3"/>
      <c r="B6" s="3" t="s">
        <v>10</v>
      </c>
      <c r="C6" s="3" t="s">
        <v>6</v>
      </c>
      <c r="D6" s="3">
        <v>3957.73</v>
      </c>
    </row>
    <row r="7" spans="1:4" x14ac:dyDescent="0.3">
      <c r="A7" s="2" t="s">
        <v>11</v>
      </c>
      <c r="B7" s="2" t="s">
        <v>12</v>
      </c>
      <c r="C7" s="2" t="s">
        <v>13</v>
      </c>
      <c r="D7" s="2">
        <v>6850.67</v>
      </c>
    </row>
    <row r="8" spans="1:4" x14ac:dyDescent="0.3">
      <c r="A8" s="2" t="s">
        <v>11</v>
      </c>
      <c r="B8" s="2" t="s">
        <v>14</v>
      </c>
      <c r="C8" s="2" t="s">
        <v>13</v>
      </c>
      <c r="D8" s="2">
        <v>6123.55</v>
      </c>
    </row>
    <row r="9" spans="1:4" x14ac:dyDescent="0.3">
      <c r="A9" s="2" t="s">
        <v>11</v>
      </c>
      <c r="B9" s="2" t="s">
        <v>15</v>
      </c>
      <c r="C9" s="2" t="s">
        <v>13</v>
      </c>
      <c r="D9" s="2">
        <v>4185.6099999999997</v>
      </c>
    </row>
    <row r="10" spans="1:4" x14ac:dyDescent="0.3">
      <c r="A10" s="2" t="s">
        <v>11</v>
      </c>
      <c r="B10" s="2" t="s">
        <v>9</v>
      </c>
      <c r="C10" s="2" t="s">
        <v>13</v>
      </c>
      <c r="D10" s="2">
        <v>4067.52</v>
      </c>
    </row>
    <row r="11" spans="1:4" x14ac:dyDescent="0.3">
      <c r="A11" s="2" t="s">
        <v>11</v>
      </c>
      <c r="B11" s="2" t="s">
        <v>16</v>
      </c>
      <c r="C11" s="2" t="s">
        <v>13</v>
      </c>
      <c r="D11" s="2">
        <v>3712.89</v>
      </c>
    </row>
    <row r="12" spans="1:4" x14ac:dyDescent="0.3">
      <c r="A12" s="2" t="s">
        <v>11</v>
      </c>
      <c r="B12" s="2" t="s">
        <v>8</v>
      </c>
      <c r="C12" s="2" t="s">
        <v>13</v>
      </c>
      <c r="D12" s="2">
        <v>3456.21</v>
      </c>
    </row>
    <row r="13" spans="1:4" x14ac:dyDescent="0.3">
      <c r="A13" s="2" t="s">
        <v>11</v>
      </c>
      <c r="B13" s="2" t="s">
        <v>5</v>
      </c>
      <c r="C13" s="2" t="s">
        <v>13</v>
      </c>
      <c r="D13" s="2">
        <v>3330.21</v>
      </c>
    </row>
    <row r="14" spans="1:4" x14ac:dyDescent="0.3">
      <c r="A14" s="2" t="s">
        <v>11</v>
      </c>
      <c r="B14" s="2" t="s">
        <v>17</v>
      </c>
      <c r="C14" s="2" t="s">
        <v>13</v>
      </c>
      <c r="D14" s="2">
        <v>3305.06</v>
      </c>
    </row>
    <row r="15" spans="1:4" x14ac:dyDescent="0.3">
      <c r="A15" s="2" t="s">
        <v>11</v>
      </c>
      <c r="B15" s="2" t="s">
        <v>18</v>
      </c>
      <c r="C15" s="2" t="s">
        <v>13</v>
      </c>
      <c r="D15" s="2">
        <v>2962.01</v>
      </c>
    </row>
    <row r="16" spans="1:4" x14ac:dyDescent="0.3">
      <c r="A16" s="2" t="s">
        <v>11</v>
      </c>
      <c r="B16" s="2" t="s">
        <v>19</v>
      </c>
      <c r="C16" s="2" t="s">
        <v>13</v>
      </c>
      <c r="D16" s="2">
        <v>992.53</v>
      </c>
    </row>
    <row r="17" spans="1:9" x14ac:dyDescent="0.3">
      <c r="A17" s="2" t="s">
        <v>11</v>
      </c>
      <c r="B17" s="2" t="s">
        <v>20</v>
      </c>
      <c r="C17" s="2" t="s">
        <v>13</v>
      </c>
      <c r="D17" s="2">
        <v>560.46</v>
      </c>
    </row>
    <row r="18" spans="1:9" x14ac:dyDescent="0.3">
      <c r="A18" s="3"/>
      <c r="B18" s="3" t="s">
        <v>21</v>
      </c>
      <c r="C18" s="3" t="s">
        <v>13</v>
      </c>
      <c r="D18" s="3">
        <v>39546.720000000001</v>
      </c>
    </row>
    <row r="19" spans="1:9" x14ac:dyDescent="0.3">
      <c r="A19" s="2" t="s">
        <v>11</v>
      </c>
      <c r="B19" s="2" t="s">
        <v>19</v>
      </c>
      <c r="C19" s="2" t="s">
        <v>22</v>
      </c>
      <c r="D19" s="2">
        <v>3740.44</v>
      </c>
    </row>
    <row r="20" spans="1:9" x14ac:dyDescent="0.3">
      <c r="A20" s="2" t="s">
        <v>11</v>
      </c>
      <c r="B20" s="2" t="s">
        <v>5</v>
      </c>
      <c r="C20" s="2" t="s">
        <v>22</v>
      </c>
      <c r="D20" s="2">
        <v>1368.47</v>
      </c>
    </row>
    <row r="21" spans="1:9" x14ac:dyDescent="0.3">
      <c r="A21" s="2" t="s">
        <v>11</v>
      </c>
      <c r="B21" s="2" t="s">
        <v>12</v>
      </c>
      <c r="C21" s="2" t="s">
        <v>22</v>
      </c>
      <c r="D21" s="2">
        <v>1326</v>
      </c>
    </row>
    <row r="22" spans="1:9" x14ac:dyDescent="0.3">
      <c r="A22" s="2" t="s">
        <v>11</v>
      </c>
      <c r="B22" s="2" t="s">
        <v>9</v>
      </c>
      <c r="C22" s="2" t="s">
        <v>22</v>
      </c>
      <c r="D22" s="2">
        <v>1267.17</v>
      </c>
    </row>
    <row r="23" spans="1:9" x14ac:dyDescent="0.3">
      <c r="A23" s="2" t="s">
        <v>11</v>
      </c>
      <c r="B23" s="2" t="s">
        <v>16</v>
      </c>
      <c r="C23" s="2" t="s">
        <v>22</v>
      </c>
      <c r="D23" s="2">
        <v>1114</v>
      </c>
    </row>
    <row r="24" spans="1:9" x14ac:dyDescent="0.3">
      <c r="A24" s="3"/>
      <c r="B24" s="3" t="s">
        <v>23</v>
      </c>
      <c r="C24" s="3" t="s">
        <v>22</v>
      </c>
      <c r="D24" s="3">
        <v>8816.08</v>
      </c>
      <c r="F24" t="s">
        <v>37</v>
      </c>
      <c r="I24">
        <v>8000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tabSelected="1" workbookViewId="0">
      <selection activeCell="D18" sqref="D18"/>
    </sheetView>
  </sheetViews>
  <sheetFormatPr defaultRowHeight="14.4" x14ac:dyDescent="0.3"/>
  <cols>
    <col min="1" max="1" width="12" customWidth="1"/>
    <col min="2" max="2" width="24" customWidth="1"/>
    <col min="3" max="3" width="22" customWidth="1"/>
    <col min="4" max="4" width="49" customWidth="1"/>
  </cols>
  <sheetData>
    <row r="1" spans="1:6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6" s="9" customFormat="1" x14ac:dyDescent="0.3">
      <c r="A2" s="8" t="s">
        <v>11</v>
      </c>
      <c r="B2" s="8" t="s">
        <v>12</v>
      </c>
      <c r="C2" s="8">
        <v>8176.67</v>
      </c>
      <c r="D2" s="8" t="s">
        <v>24</v>
      </c>
      <c r="F2" s="12">
        <f>C2*0.01</f>
        <v>81.7667</v>
      </c>
    </row>
    <row r="3" spans="1:6" x14ac:dyDescent="0.3">
      <c r="A3" s="2" t="s">
        <v>25</v>
      </c>
      <c r="B3" s="11" t="s">
        <v>5</v>
      </c>
      <c r="C3" s="2">
        <v>6635.84</v>
      </c>
      <c r="D3" s="2" t="s">
        <v>26</v>
      </c>
      <c r="E3" s="2" t="s">
        <v>38</v>
      </c>
      <c r="F3" s="12">
        <f t="shared" ref="F3:F13" si="0">C3*0.01</f>
        <v>66.358400000000003</v>
      </c>
    </row>
    <row r="4" spans="1:6" s="9" customFormat="1" x14ac:dyDescent="0.3">
      <c r="A4" s="8" t="s">
        <v>11</v>
      </c>
      <c r="B4" s="8" t="s">
        <v>14</v>
      </c>
      <c r="C4" s="8">
        <v>6123.55</v>
      </c>
      <c r="D4" s="8" t="s">
        <v>13</v>
      </c>
      <c r="F4" s="12">
        <f t="shared" si="0"/>
        <v>61.235500000000002</v>
      </c>
    </row>
    <row r="5" spans="1:6" s="9" customFormat="1" x14ac:dyDescent="0.3">
      <c r="A5" s="8" t="s">
        <v>25</v>
      </c>
      <c r="B5" s="8" t="s">
        <v>9</v>
      </c>
      <c r="C5" s="8">
        <v>5534.6900000000014</v>
      </c>
      <c r="D5" s="8" t="s">
        <v>26</v>
      </c>
      <c r="F5" s="12">
        <f t="shared" si="0"/>
        <v>55.346900000000012</v>
      </c>
    </row>
    <row r="6" spans="1:6" s="9" customFormat="1" x14ac:dyDescent="0.3">
      <c r="A6" s="8" t="s">
        <v>11</v>
      </c>
      <c r="B6" s="8" t="s">
        <v>16</v>
      </c>
      <c r="C6" s="8">
        <v>4826.8899999999994</v>
      </c>
      <c r="D6" s="8" t="s">
        <v>24</v>
      </c>
      <c r="F6" s="12">
        <f t="shared" si="0"/>
        <v>48.268899999999995</v>
      </c>
    </row>
    <row r="7" spans="1:6" x14ac:dyDescent="0.3">
      <c r="A7" s="2" t="s">
        <v>11</v>
      </c>
      <c r="B7" s="11" t="s">
        <v>19</v>
      </c>
      <c r="C7" s="2">
        <v>4732.97</v>
      </c>
      <c r="D7" s="2" t="s">
        <v>24</v>
      </c>
      <c r="E7" s="2" t="s">
        <v>38</v>
      </c>
      <c r="F7" s="12">
        <f t="shared" si="0"/>
        <v>47.329700000000003</v>
      </c>
    </row>
    <row r="8" spans="1:6" s="9" customFormat="1" x14ac:dyDescent="0.3">
      <c r="A8" s="8" t="s">
        <v>25</v>
      </c>
      <c r="B8" s="8" t="s">
        <v>8</v>
      </c>
      <c r="C8" s="8">
        <v>4306.4799999999996</v>
      </c>
      <c r="D8" s="8" t="s">
        <v>27</v>
      </c>
      <c r="F8" s="12">
        <f t="shared" si="0"/>
        <v>43.064799999999998</v>
      </c>
    </row>
    <row r="9" spans="1:6" s="9" customFormat="1" x14ac:dyDescent="0.3">
      <c r="A9" s="8" t="s">
        <v>11</v>
      </c>
      <c r="B9" s="8" t="s">
        <v>15</v>
      </c>
      <c r="C9" s="8">
        <v>4185.6099999999997</v>
      </c>
      <c r="D9" s="8" t="s">
        <v>13</v>
      </c>
      <c r="F9" s="12">
        <f t="shared" si="0"/>
        <v>41.856099999999998</v>
      </c>
    </row>
    <row r="10" spans="1:6" s="9" customFormat="1" x14ac:dyDescent="0.3">
      <c r="A10" s="8" t="s">
        <v>11</v>
      </c>
      <c r="B10" s="8" t="s">
        <v>17</v>
      </c>
      <c r="C10" s="8">
        <v>3305.06</v>
      </c>
      <c r="D10" s="8" t="s">
        <v>13</v>
      </c>
      <c r="F10" s="12">
        <f t="shared" si="0"/>
        <v>33.050600000000003</v>
      </c>
    </row>
    <row r="11" spans="1:6" s="9" customFormat="1" x14ac:dyDescent="0.3">
      <c r="A11" s="8" t="s">
        <v>11</v>
      </c>
      <c r="B11" s="8" t="s">
        <v>18</v>
      </c>
      <c r="C11" s="8">
        <v>2962.01</v>
      </c>
      <c r="D11" s="8" t="s">
        <v>13</v>
      </c>
      <c r="F11" s="12">
        <f t="shared" si="0"/>
        <v>29.620100000000004</v>
      </c>
    </row>
    <row r="12" spans="1:6" x14ac:dyDescent="0.3">
      <c r="A12" s="2" t="s">
        <v>4</v>
      </c>
      <c r="B12" s="2" t="s">
        <v>7</v>
      </c>
      <c r="C12" s="2">
        <v>970.3</v>
      </c>
      <c r="D12" s="2" t="s">
        <v>6</v>
      </c>
      <c r="F12" s="12">
        <f t="shared" si="0"/>
        <v>9.7029999999999994</v>
      </c>
    </row>
    <row r="13" spans="1:6" s="9" customFormat="1" x14ac:dyDescent="0.3">
      <c r="A13" s="8" t="s">
        <v>11</v>
      </c>
      <c r="B13" s="8" t="s">
        <v>20</v>
      </c>
      <c r="C13" s="8">
        <v>560.46</v>
      </c>
      <c r="D13" s="8" t="s">
        <v>13</v>
      </c>
      <c r="F13" s="12">
        <f t="shared" si="0"/>
        <v>5.6046000000000005</v>
      </c>
    </row>
    <row r="14" spans="1:6" x14ac:dyDescent="0.3">
      <c r="A14" s="3"/>
      <c r="B14" s="3" t="s">
        <v>28</v>
      </c>
      <c r="C14" s="3">
        <v>52320.53</v>
      </c>
      <c r="D14" s="3"/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E18" sqref="E18"/>
    </sheetView>
  </sheetViews>
  <sheetFormatPr defaultRowHeight="14.4" x14ac:dyDescent="0.3"/>
  <cols>
    <col min="1" max="1" width="23" customWidth="1"/>
    <col min="2" max="2" width="9" bestFit="1" customWidth="1"/>
    <col min="3" max="3" width="19" customWidth="1"/>
    <col min="4" max="4" width="10" customWidth="1"/>
    <col min="5" max="5" width="21" customWidth="1"/>
  </cols>
  <sheetData>
    <row r="1" spans="1:6" x14ac:dyDescent="0.3">
      <c r="A1" s="1" t="s">
        <v>29</v>
      </c>
      <c r="B1" s="1" t="s">
        <v>0</v>
      </c>
      <c r="C1" s="1" t="s">
        <v>1</v>
      </c>
      <c r="D1" s="1" t="s">
        <v>30</v>
      </c>
      <c r="E1" s="1" t="s">
        <v>2</v>
      </c>
    </row>
    <row r="2" spans="1:6" x14ac:dyDescent="0.3">
      <c r="A2" s="4">
        <v>46143</v>
      </c>
      <c r="B2" s="5" t="s">
        <v>11</v>
      </c>
      <c r="C2" s="5" t="s">
        <v>35</v>
      </c>
      <c r="D2" s="5">
        <v>250</v>
      </c>
      <c r="E2" s="5" t="s">
        <v>13</v>
      </c>
      <c r="F2">
        <f>D2/0.98/0.8</f>
        <v>318.87755102040813</v>
      </c>
    </row>
    <row r="3" spans="1:6" x14ac:dyDescent="0.3">
      <c r="A3" s="4">
        <v>46156</v>
      </c>
      <c r="B3" s="5" t="s">
        <v>11</v>
      </c>
      <c r="C3" s="5" t="s">
        <v>31</v>
      </c>
      <c r="D3" s="5">
        <v>1000</v>
      </c>
      <c r="E3" s="5" t="s">
        <v>13</v>
      </c>
      <c r="F3">
        <f t="shared" ref="F3:F12" si="0">D3/0.98/0.8</f>
        <v>1275.5102040816325</v>
      </c>
    </row>
    <row r="4" spans="1:6" x14ac:dyDescent="0.3">
      <c r="A4" s="4">
        <v>46164</v>
      </c>
      <c r="B4" s="5" t="s">
        <v>11</v>
      </c>
      <c r="C4" s="5" t="s">
        <v>35</v>
      </c>
      <c r="D4" s="5">
        <v>225</v>
      </c>
      <c r="E4" s="5" t="s">
        <v>13</v>
      </c>
      <c r="F4">
        <f t="shared" si="0"/>
        <v>286.98979591836735</v>
      </c>
    </row>
    <row r="5" spans="1:6" x14ac:dyDescent="0.3">
      <c r="A5" s="4">
        <v>46170</v>
      </c>
      <c r="B5" s="5" t="s">
        <v>11</v>
      </c>
      <c r="C5" s="5" t="s">
        <v>32</v>
      </c>
      <c r="D5" s="5">
        <v>1200</v>
      </c>
      <c r="E5" s="5" t="s">
        <v>13</v>
      </c>
      <c r="F5">
        <f t="shared" si="0"/>
        <v>1530.6122448979593</v>
      </c>
    </row>
    <row r="6" spans="1:6" x14ac:dyDescent="0.3">
      <c r="A6" s="4">
        <v>46170</v>
      </c>
      <c r="B6" s="5" t="s">
        <v>11</v>
      </c>
      <c r="C6" s="5" t="s">
        <v>31</v>
      </c>
      <c r="D6" s="5">
        <v>1000</v>
      </c>
      <c r="E6" s="5" t="s">
        <v>13</v>
      </c>
      <c r="F6">
        <f t="shared" si="0"/>
        <v>1275.5102040816325</v>
      </c>
    </row>
    <row r="7" spans="1:6" x14ac:dyDescent="0.3">
      <c r="A7" s="4">
        <v>46171</v>
      </c>
      <c r="B7" s="5" t="s">
        <v>11</v>
      </c>
      <c r="C7" s="5" t="s">
        <v>35</v>
      </c>
      <c r="D7" s="5">
        <v>225</v>
      </c>
      <c r="E7" s="5" t="s">
        <v>13</v>
      </c>
      <c r="F7">
        <f t="shared" si="0"/>
        <v>286.98979591836735</v>
      </c>
    </row>
    <row r="8" spans="1:6" x14ac:dyDescent="0.3">
      <c r="A8" s="4">
        <v>46146</v>
      </c>
      <c r="B8" s="5" t="s">
        <v>11</v>
      </c>
      <c r="C8" s="5" t="s">
        <v>33</v>
      </c>
      <c r="D8" s="5">
        <v>300</v>
      </c>
      <c r="E8" s="5" t="s">
        <v>22</v>
      </c>
      <c r="F8">
        <f t="shared" si="0"/>
        <v>382.65306122448982</v>
      </c>
    </row>
    <row r="9" spans="1:6" x14ac:dyDescent="0.3">
      <c r="A9" s="4">
        <v>46153</v>
      </c>
      <c r="B9" s="5" t="s">
        <v>11</v>
      </c>
      <c r="C9" s="5" t="s">
        <v>33</v>
      </c>
      <c r="D9" s="5">
        <v>300</v>
      </c>
      <c r="E9" s="5" t="s">
        <v>22</v>
      </c>
      <c r="F9">
        <f t="shared" si="0"/>
        <v>382.65306122448982</v>
      </c>
    </row>
    <row r="10" spans="1:6" x14ac:dyDescent="0.3">
      <c r="A10" s="4">
        <v>46160</v>
      </c>
      <c r="B10" s="5" t="s">
        <v>11</v>
      </c>
      <c r="C10" s="5" t="s">
        <v>33</v>
      </c>
      <c r="D10" s="5">
        <v>300</v>
      </c>
      <c r="E10" s="5" t="s">
        <v>22</v>
      </c>
      <c r="F10">
        <f t="shared" si="0"/>
        <v>382.65306122448982</v>
      </c>
    </row>
    <row r="11" spans="1:6" x14ac:dyDescent="0.3">
      <c r="A11" s="4">
        <v>46167</v>
      </c>
      <c r="B11" s="5" t="s">
        <v>11</v>
      </c>
      <c r="C11" s="5" t="s">
        <v>33</v>
      </c>
      <c r="D11" s="5">
        <v>100</v>
      </c>
      <c r="E11" s="5" t="s">
        <v>22</v>
      </c>
      <c r="F11">
        <f t="shared" si="0"/>
        <v>127.55102040816327</v>
      </c>
    </row>
    <row r="12" spans="1:6" x14ac:dyDescent="0.3">
      <c r="A12" s="3"/>
      <c r="B12" s="3"/>
      <c r="C12" s="3" t="s">
        <v>34</v>
      </c>
      <c r="D12" s="3">
        <v>4900</v>
      </c>
      <c r="E12" s="3"/>
      <c r="F12">
        <f t="shared" si="0"/>
        <v>6250</v>
      </c>
    </row>
    <row r="15" spans="1:6" x14ac:dyDescent="0.3">
      <c r="A15" t="s">
        <v>36</v>
      </c>
      <c r="B15" s="6">
        <v>46146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>
      <selection activeCell="D8" sqref="D8"/>
    </sheetView>
  </sheetViews>
  <sheetFormatPr defaultRowHeight="14.4" x14ac:dyDescent="0.3"/>
  <cols>
    <col min="1" max="1" width="12" customWidth="1"/>
    <col min="2" max="2" width="24" customWidth="1"/>
    <col min="3" max="3" width="22" customWidth="1"/>
    <col min="4" max="4" width="30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">
      <c r="A2" s="2" t="s">
        <v>11</v>
      </c>
      <c r="B2" s="2" t="s">
        <v>12</v>
      </c>
      <c r="C2" s="2">
        <v>6850.67</v>
      </c>
      <c r="D2" s="2" t="s">
        <v>13</v>
      </c>
    </row>
    <row r="3" spans="1:4" x14ac:dyDescent="0.3">
      <c r="A3" s="2" t="s">
        <v>11</v>
      </c>
      <c r="B3" s="2" t="s">
        <v>14</v>
      </c>
      <c r="C3" s="2">
        <v>6123.55</v>
      </c>
      <c r="D3" s="2" t="s">
        <v>13</v>
      </c>
    </row>
    <row r="4" spans="1:4" x14ac:dyDescent="0.3">
      <c r="A4" s="2" t="s">
        <v>25</v>
      </c>
      <c r="B4" s="2" t="s">
        <v>5</v>
      </c>
      <c r="C4" s="2">
        <v>5267.37</v>
      </c>
      <c r="D4" s="2" t="s">
        <v>27</v>
      </c>
    </row>
    <row r="5" spans="1:4" x14ac:dyDescent="0.3">
      <c r="A5" s="2" t="s">
        <v>25</v>
      </c>
      <c r="B5" s="2" t="s">
        <v>8</v>
      </c>
      <c r="C5" s="2">
        <v>4306.4799999999996</v>
      </c>
      <c r="D5" s="2" t="s">
        <v>27</v>
      </c>
    </row>
    <row r="6" spans="1:4" x14ac:dyDescent="0.3">
      <c r="A6" s="2" t="s">
        <v>25</v>
      </c>
      <c r="B6" s="2" t="s">
        <v>9</v>
      </c>
      <c r="C6" s="2">
        <v>4267.5200000000004</v>
      </c>
      <c r="D6" s="2" t="s">
        <v>27</v>
      </c>
    </row>
    <row r="7" spans="1:4" x14ac:dyDescent="0.3">
      <c r="A7" s="2" t="s">
        <v>11</v>
      </c>
      <c r="B7" s="2" t="s">
        <v>15</v>
      </c>
      <c r="C7" s="2">
        <v>4185.6099999999997</v>
      </c>
      <c r="D7" s="2" t="s">
        <v>13</v>
      </c>
    </row>
    <row r="8" spans="1:4" x14ac:dyDescent="0.3">
      <c r="A8" s="2" t="s">
        <v>11</v>
      </c>
      <c r="B8" s="2" t="s">
        <v>16</v>
      </c>
      <c r="C8" s="2">
        <v>3712.89</v>
      </c>
      <c r="D8" s="2" t="s">
        <v>13</v>
      </c>
    </row>
    <row r="9" spans="1:4" x14ac:dyDescent="0.3">
      <c r="A9" s="2" t="s">
        <v>11</v>
      </c>
      <c r="B9" s="2" t="s">
        <v>17</v>
      </c>
      <c r="C9" s="2">
        <v>3305.06</v>
      </c>
      <c r="D9" s="2" t="s">
        <v>13</v>
      </c>
    </row>
    <row r="10" spans="1:4" x14ac:dyDescent="0.3">
      <c r="A10" s="2" t="s">
        <v>11</v>
      </c>
      <c r="B10" s="2" t="s">
        <v>18</v>
      </c>
      <c r="C10" s="2">
        <v>2962.01</v>
      </c>
      <c r="D10" s="2" t="s">
        <v>13</v>
      </c>
    </row>
    <row r="11" spans="1:4" x14ac:dyDescent="0.3">
      <c r="A11" s="2" t="s">
        <v>11</v>
      </c>
      <c r="B11" s="2" t="s">
        <v>19</v>
      </c>
      <c r="C11" s="2">
        <v>992.53</v>
      </c>
      <c r="D11" s="2" t="s">
        <v>13</v>
      </c>
    </row>
    <row r="12" spans="1:4" x14ac:dyDescent="0.3">
      <c r="A12" s="2" t="s">
        <v>4</v>
      </c>
      <c r="B12" s="2" t="s">
        <v>7</v>
      </c>
      <c r="C12" s="2">
        <v>970.3</v>
      </c>
      <c r="D12" s="2" t="s">
        <v>6</v>
      </c>
    </row>
    <row r="13" spans="1:4" x14ac:dyDescent="0.3">
      <c r="A13" s="2" t="s">
        <v>11</v>
      </c>
      <c r="B13" s="2" t="s">
        <v>20</v>
      </c>
      <c r="C13" s="2">
        <v>560.46</v>
      </c>
      <c r="D13" s="2" t="s">
        <v>13</v>
      </c>
    </row>
    <row r="14" spans="1:4" x14ac:dyDescent="0.3">
      <c r="A14" s="3"/>
      <c r="B14" s="3" t="s">
        <v>34</v>
      </c>
      <c r="C14" s="3">
        <v>43504.45</v>
      </c>
      <c r="D14" s="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>
      <selection activeCell="E7" sqref="E7"/>
    </sheetView>
  </sheetViews>
  <sheetFormatPr defaultRowHeight="14.4" x14ac:dyDescent="0.3"/>
  <cols>
    <col min="1" max="1" width="8" customWidth="1"/>
    <col min="2" max="2" width="22" customWidth="1"/>
    <col min="3" max="3" width="16" customWidth="1"/>
    <col min="4" max="4" width="21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">
      <c r="A2" s="2" t="s">
        <v>11</v>
      </c>
      <c r="B2" s="2" t="s">
        <v>19</v>
      </c>
      <c r="C2" s="2">
        <v>3740.44</v>
      </c>
      <c r="D2" s="2" t="s">
        <v>22</v>
      </c>
    </row>
    <row r="3" spans="1:4" x14ac:dyDescent="0.3">
      <c r="A3" s="2" t="s">
        <v>11</v>
      </c>
      <c r="B3" s="2" t="s">
        <v>5</v>
      </c>
      <c r="C3" s="2">
        <v>1368.47</v>
      </c>
      <c r="D3" s="2" t="s">
        <v>22</v>
      </c>
    </row>
    <row r="4" spans="1:4" x14ac:dyDescent="0.3">
      <c r="A4" s="2" t="s">
        <v>11</v>
      </c>
      <c r="B4" s="2" t="s">
        <v>12</v>
      </c>
      <c r="C4" s="2">
        <v>1326</v>
      </c>
      <c r="D4" s="2" t="s">
        <v>22</v>
      </c>
    </row>
    <row r="5" spans="1:4" x14ac:dyDescent="0.3">
      <c r="A5" s="2" t="s">
        <v>11</v>
      </c>
      <c r="B5" s="2" t="s">
        <v>9</v>
      </c>
      <c r="C5" s="2">
        <v>1267.17</v>
      </c>
      <c r="D5" s="2" t="s">
        <v>22</v>
      </c>
    </row>
    <row r="6" spans="1:4" x14ac:dyDescent="0.3">
      <c r="A6" s="2" t="s">
        <v>11</v>
      </c>
      <c r="B6" s="2" t="s">
        <v>16</v>
      </c>
      <c r="C6" s="2">
        <v>1114</v>
      </c>
      <c r="D6" s="2" t="s">
        <v>22</v>
      </c>
    </row>
    <row r="7" spans="1:4" x14ac:dyDescent="0.3">
      <c r="A7" s="3"/>
      <c r="B7" s="3" t="s">
        <v>34</v>
      </c>
      <c r="C7" s="3">
        <v>8816.08</v>
      </c>
      <c r="D7" s="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selection activeCell="D7" sqref="D7"/>
    </sheetView>
  </sheetViews>
  <sheetFormatPr defaultRowHeight="14.4" x14ac:dyDescent="0.3"/>
  <cols>
    <col min="1" max="1" width="8" customWidth="1"/>
    <col min="2" max="2" width="17" customWidth="1"/>
    <col min="3" max="3" width="16" customWidth="1"/>
    <col min="4" max="4" width="15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s="9" customFormat="1" x14ac:dyDescent="0.3">
      <c r="A2" s="10"/>
      <c r="B2" s="10" t="s">
        <v>34</v>
      </c>
      <c r="C2" s="10">
        <v>1132.5</v>
      </c>
      <c r="D2" s="10"/>
    </row>
    <row r="3" spans="1:4" x14ac:dyDescent="0.3">
      <c r="C3">
        <v>1034.5</v>
      </c>
    </row>
    <row r="4" spans="1:4" x14ac:dyDescent="0.3">
      <c r="C4">
        <v>98</v>
      </c>
    </row>
    <row r="5" spans="1:4" x14ac:dyDescent="0.3">
      <c r="C5">
        <f>SUM(C3:C4)</f>
        <v>1132.5</v>
      </c>
      <c r="D5" s="7">
        <f>C5-C2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3" sqref="D13"/>
    </sheetView>
  </sheetViews>
  <sheetFormatPr defaultRowHeight="14.4" x14ac:dyDescent="0.3"/>
  <cols>
    <col min="1" max="1" width="8" customWidth="1"/>
    <col min="2" max="2" width="17" customWidth="1"/>
    <col min="3" max="3" width="21" customWidth="1"/>
    <col min="4" max="4" width="15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s="9" customFormat="1" x14ac:dyDescent="0.3">
      <c r="A2" s="10"/>
      <c r="B2" s="10" t="s">
        <v>34</v>
      </c>
      <c r="C2" s="10">
        <v>4872.4699999999993</v>
      </c>
      <c r="D2" s="10"/>
    </row>
    <row r="3" spans="1:4" x14ac:dyDescent="0.3">
      <c r="C3">
        <v>2456.1999999999998</v>
      </c>
    </row>
    <row r="4" spans="1:4" x14ac:dyDescent="0.3">
      <c r="C4">
        <v>2416.27</v>
      </c>
    </row>
    <row r="5" spans="1:4" x14ac:dyDescent="0.3">
      <c r="C5">
        <f>C3+C4</f>
        <v>4872.4699999999993</v>
      </c>
      <c r="D5" s="7">
        <f>C5-C2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Results</vt:lpstr>
      <vt:lpstr>Summary</vt:lpstr>
      <vt:lpstr>Salary</vt:lpstr>
      <vt:lpstr>მომსახ დელ</vt:lpstr>
      <vt:lpstr>მომსახ ცელ</vt:lpstr>
      <vt:lpstr>ზუკა</vt:lpstr>
      <vt:lpstr>ირმა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nino kharazishvilli</cp:lastModifiedBy>
  <dcterms:created xsi:type="dcterms:W3CDTF">2026-06-05T14:04:19Z</dcterms:created>
  <dcterms:modified xsi:type="dcterms:W3CDTF">2026-06-15T08:29:49Z</dcterms:modified>
</cp:coreProperties>
</file>