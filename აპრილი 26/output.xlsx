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A8276B6D-212E-47E7-B3F9-7DACE0A7E8FA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Results" sheetId="1" r:id="rId1"/>
    <sheet name="Summary" sheetId="2" r:id="rId2"/>
    <sheet name="Salary" sheetId="3" r:id="rId3"/>
    <sheet name="მომსახ დელ" sheetId="4" r:id="rId4"/>
    <sheet name="მომსახ ცელ" sheetId="5" r:id="rId5"/>
    <sheet name="ზუკა" sheetId="6" r:id="rId6"/>
    <sheet name="ირმა" sheetId="7" r:id="rId7"/>
  </sheets>
  <calcPr calcId="191029"/>
</workbook>
</file>

<file path=xl/calcChain.xml><?xml version="1.0" encoding="utf-8"?>
<calcChain xmlns="http://schemas.openxmlformats.org/spreadsheetml/2006/main">
  <c r="D2" i="7" l="1"/>
  <c r="D2" i="6"/>
  <c r="D6" i="5" l="1"/>
  <c r="D13" i="4"/>
  <c r="D13" i="2"/>
</calcChain>
</file>

<file path=xl/sharedStrings.xml><?xml version="1.0" encoding="utf-8"?>
<sst xmlns="http://schemas.openxmlformats.org/spreadsheetml/2006/main" count="202" uniqueCount="41">
  <si>
    <t>Bank</t>
  </si>
  <si>
    <t>Partner Name</t>
  </si>
  <si>
    <t>Source File</t>
  </si>
  <si>
    <t>Total Amount</t>
  </si>
  <si>
    <t>BOG</t>
  </si>
  <si>
    <t>მელაძე გიორგი</t>
  </si>
  <si>
    <t>დელ BOG.xlsx</t>
  </si>
  <si>
    <t>კვარაცხელია ნინო</t>
  </si>
  <si>
    <t>ელოიძე რობერტ</t>
  </si>
  <si>
    <t>--- დელ BOG.xlsx TOTAL ---</t>
  </si>
  <si>
    <t>TBC</t>
  </si>
  <si>
    <t>საბა ცაგარეიშვილი</t>
  </si>
  <si>
    <t>დელ TBC.xlsx</t>
  </si>
  <si>
    <t>ოთარ კუპრეიშვილი</t>
  </si>
  <si>
    <t>დავით სვირავა</t>
  </si>
  <si>
    <t>ი/მ გიორგი მეტრეველი</t>
  </si>
  <si>
    <t>მიხეილ ლომჯარია</t>
  </si>
  <si>
    <t>დავითი საყვარელიძე</t>
  </si>
  <si>
    <t>ბადრი სირაძე</t>
  </si>
  <si>
    <t>ინდივიდუალური მეწარმე ბობო ქარ</t>
  </si>
  <si>
    <t>--- დელ TBC.xlsx TOTAL ---</t>
  </si>
  <si>
    <t>ირმა BOG.xlsx</t>
  </si>
  <si>
    <t>--- ირმა BOG.xlsx TOTAL ---</t>
  </si>
  <si>
    <t>ირმა TBC.xlsx</t>
  </si>
  <si>
    <t>--- ირმა TBC.xlsx TOTAL ---</t>
  </si>
  <si>
    <t>ცელერისი TBC.xlsx</t>
  </si>
  <si>
    <t>--- ცელერისი TBC.xlsx TOTAL ---</t>
  </si>
  <si>
    <t>დელ TBC.xlsx, ცელერისი TBC.xlsx</t>
  </si>
  <si>
    <t>BOG, TBC</t>
  </si>
  <si>
    <t>დელ BOG.xlsx, დელ TBC.xlsx, ცელერისი TBC.xlsx</t>
  </si>
  <si>
    <t>დელ TBC.xlsx, ირმა TBC.xlsx, ცელერისი TBC.xlsx</t>
  </si>
  <si>
    <t>დელ BOG.xlsx, დელ TBC.xlsx</t>
  </si>
  <si>
    <t>დელ BOG.xlsx, დელ TBC.xlsx, ირმა BOG.xlsx</t>
  </si>
  <si>
    <t>--- GRAND TOTAL ---</t>
  </si>
  <si>
    <t>Date</t>
  </si>
  <si>
    <t>Amount</t>
  </si>
  <si>
    <t>ზურაბი  თომაძე</t>
  </si>
  <si>
    <t>ნანა კურცხალია</t>
  </si>
  <si>
    <t>მარიამი გულბანი</t>
  </si>
  <si>
    <t>--- TOTAL ---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</si>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</sst>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0" xfId="0" applyFont="1" applyFill="1"/>
    <xf numFmtId="164" fontId="0" fillId="5" borderId="0" xfId="0" applyNumberFormat="1" applyFill="1"/>
    <xf numFmtId="0" fontId="0" fillId="5" borderId="0" xfId="0" applyFill="1"/>
    <xf numFmtId="43" fontId="5" fillId="4" borderId="0" xfId="1" applyFont="1" applyFill="1"/>
    <xf numFmtId="0" fontId="4" fillId="0" borderId="0" xfId="0" applyFont="1"/>
    <xf numFmtId="0" fontId="0" fillId="6" borderId="0" xfId="0" applyFill="1"/>
    <xf numFmtId="0" fontId="0" fillId="7" borderId="0" xfId="0" applyFill="1"/>
    <xf numFmtId="0" fontId="1" fillId="8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D23" activeCellId="2" sqref="D2 D13 D23"/>
    </sheetView>
  </sheetViews>
  <sheetFormatPr defaultRowHeight="14.4" x14ac:dyDescent="0.3"/>
  <cols>
    <col min="1" max="1" width="8" customWidth="1"/>
    <col min="2" max="2" width="35" customWidth="1"/>
    <col min="3" max="3" width="21" customWidth="1"/>
    <col min="4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1788</v>
      </c>
    </row>
    <row r="3" spans="1:4" x14ac:dyDescent="0.3">
      <c r="A3" s="2" t="s">
        <v>4</v>
      </c>
      <c r="B3" s="2" t="s">
        <v>7</v>
      </c>
      <c r="C3" s="2" t="s">
        <v>6</v>
      </c>
      <c r="D3" s="2">
        <v>1658.08</v>
      </c>
    </row>
    <row r="4" spans="1:4" x14ac:dyDescent="0.3">
      <c r="A4" s="2" t="s">
        <v>4</v>
      </c>
      <c r="B4" s="2" t="s">
        <v>8</v>
      </c>
      <c r="C4" s="2" t="s">
        <v>6</v>
      </c>
      <c r="D4" s="2">
        <v>1540.52</v>
      </c>
    </row>
    <row r="5" spans="1:4" x14ac:dyDescent="0.3">
      <c r="A5" s="3"/>
      <c r="B5" s="3" t="s">
        <v>9</v>
      </c>
      <c r="C5" s="3" t="s">
        <v>6</v>
      </c>
      <c r="D5" s="3">
        <v>4986.6000000000004</v>
      </c>
    </row>
    <row r="6" spans="1:4" x14ac:dyDescent="0.3">
      <c r="A6" s="2" t="s">
        <v>10</v>
      </c>
      <c r="B6" s="2" t="s">
        <v>11</v>
      </c>
      <c r="C6" s="2" t="s">
        <v>12</v>
      </c>
      <c r="D6" s="2">
        <v>5144.63</v>
      </c>
    </row>
    <row r="7" spans="1:4" x14ac:dyDescent="0.3">
      <c r="A7" s="2" t="s">
        <v>10</v>
      </c>
      <c r="B7" s="2" t="s">
        <v>13</v>
      </c>
      <c r="C7" s="2" t="s">
        <v>12</v>
      </c>
      <c r="D7" s="2">
        <v>4606</v>
      </c>
    </row>
    <row r="8" spans="1:4" x14ac:dyDescent="0.3">
      <c r="A8" s="2" t="s">
        <v>10</v>
      </c>
      <c r="B8" s="2" t="s">
        <v>14</v>
      </c>
      <c r="C8" s="2" t="s">
        <v>12</v>
      </c>
      <c r="D8" s="2">
        <v>4514.6499999999996</v>
      </c>
    </row>
    <row r="9" spans="1:4" x14ac:dyDescent="0.3">
      <c r="A9" s="2" t="s">
        <v>10</v>
      </c>
      <c r="B9" s="2" t="s">
        <v>15</v>
      </c>
      <c r="C9" s="2" t="s">
        <v>12</v>
      </c>
      <c r="D9" s="2">
        <v>3223.4</v>
      </c>
    </row>
    <row r="10" spans="1:4" x14ac:dyDescent="0.3">
      <c r="A10" s="2" t="s">
        <v>10</v>
      </c>
      <c r="B10" s="2" t="s">
        <v>8</v>
      </c>
      <c r="C10" s="2" t="s">
        <v>12</v>
      </c>
      <c r="D10" s="2">
        <v>2090.0100000000002</v>
      </c>
    </row>
    <row r="11" spans="1:4" x14ac:dyDescent="0.3">
      <c r="A11" s="2" t="s">
        <v>10</v>
      </c>
      <c r="B11" s="2" t="s">
        <v>16</v>
      </c>
      <c r="C11" s="2" t="s">
        <v>12</v>
      </c>
      <c r="D11" s="2">
        <v>1554.33</v>
      </c>
    </row>
    <row r="12" spans="1:4" x14ac:dyDescent="0.3">
      <c r="A12" s="2" t="s">
        <v>10</v>
      </c>
      <c r="B12" s="2" t="s">
        <v>7</v>
      </c>
      <c r="C12" s="2" t="s">
        <v>12</v>
      </c>
      <c r="D12" s="2">
        <v>1115.8</v>
      </c>
    </row>
    <row r="13" spans="1:4" x14ac:dyDescent="0.3">
      <c r="A13" s="2" t="s">
        <v>10</v>
      </c>
      <c r="B13" s="2" t="s">
        <v>5</v>
      </c>
      <c r="C13" s="2" t="s">
        <v>12</v>
      </c>
      <c r="D13" s="2">
        <v>1113.5</v>
      </c>
    </row>
    <row r="14" spans="1:4" x14ac:dyDescent="0.3">
      <c r="A14" s="2" t="s">
        <v>10</v>
      </c>
      <c r="B14" s="2" t="s">
        <v>17</v>
      </c>
      <c r="C14" s="2" t="s">
        <v>12</v>
      </c>
      <c r="D14" s="2">
        <v>1004.5</v>
      </c>
    </row>
    <row r="15" spans="1:4" x14ac:dyDescent="0.3">
      <c r="A15" s="2" t="s">
        <v>10</v>
      </c>
      <c r="B15" s="2" t="s">
        <v>18</v>
      </c>
      <c r="C15" s="2" t="s">
        <v>12</v>
      </c>
      <c r="D15" s="2">
        <v>831.85</v>
      </c>
    </row>
    <row r="16" spans="1:4" x14ac:dyDescent="0.3">
      <c r="A16" s="2" t="s">
        <v>10</v>
      </c>
      <c r="B16" s="2" t="s">
        <v>19</v>
      </c>
      <c r="C16" s="2" t="s">
        <v>12</v>
      </c>
      <c r="D16" s="2">
        <v>7.12</v>
      </c>
    </row>
    <row r="17" spans="1:4" x14ac:dyDescent="0.3">
      <c r="A17" s="3"/>
      <c r="B17" s="3" t="s">
        <v>20</v>
      </c>
      <c r="C17" s="3" t="s">
        <v>12</v>
      </c>
      <c r="D17" s="3">
        <v>25205.79</v>
      </c>
    </row>
    <row r="18" spans="1:4" x14ac:dyDescent="0.3">
      <c r="A18" s="2" t="s">
        <v>4</v>
      </c>
      <c r="B18" s="2" t="s">
        <v>7</v>
      </c>
      <c r="C18" s="2" t="s">
        <v>21</v>
      </c>
      <c r="D18" s="2">
        <v>823.74</v>
      </c>
    </row>
    <row r="19" spans="1:4" x14ac:dyDescent="0.3">
      <c r="A19" s="3"/>
      <c r="B19" s="3" t="s">
        <v>22</v>
      </c>
      <c r="C19" s="3" t="s">
        <v>21</v>
      </c>
      <c r="D19" s="3">
        <v>823.74</v>
      </c>
    </row>
    <row r="20" spans="1:4" x14ac:dyDescent="0.3">
      <c r="A20" s="2" t="s">
        <v>10</v>
      </c>
      <c r="B20" s="2" t="s">
        <v>17</v>
      </c>
      <c r="C20" s="2" t="s">
        <v>23</v>
      </c>
      <c r="D20" s="2">
        <v>1188</v>
      </c>
    </row>
    <row r="21" spans="1:4" x14ac:dyDescent="0.3">
      <c r="A21" s="3"/>
      <c r="B21" s="3" t="s">
        <v>24</v>
      </c>
      <c r="C21" s="3" t="s">
        <v>23</v>
      </c>
      <c r="D21" s="3">
        <v>1188</v>
      </c>
    </row>
    <row r="22" spans="1:4" x14ac:dyDescent="0.3">
      <c r="A22" s="2" t="s">
        <v>10</v>
      </c>
      <c r="B22" s="2" t="s">
        <v>17</v>
      </c>
      <c r="C22" s="2" t="s">
        <v>25</v>
      </c>
      <c r="D22" s="2">
        <v>2874</v>
      </c>
    </row>
    <row r="23" spans="1:4" x14ac:dyDescent="0.3">
      <c r="A23" s="2" t="s">
        <v>10</v>
      </c>
      <c r="B23" s="2" t="s">
        <v>5</v>
      </c>
      <c r="C23" s="2" t="s">
        <v>25</v>
      </c>
      <c r="D23" s="2">
        <v>2243</v>
      </c>
    </row>
    <row r="24" spans="1:4" x14ac:dyDescent="0.3">
      <c r="A24" s="2" t="s">
        <v>10</v>
      </c>
      <c r="B24" s="2" t="s">
        <v>14</v>
      </c>
      <c r="C24" s="2" t="s">
        <v>25</v>
      </c>
      <c r="D24" s="2">
        <v>1438</v>
      </c>
    </row>
    <row r="25" spans="1:4" x14ac:dyDescent="0.3">
      <c r="A25" s="2" t="s">
        <v>10</v>
      </c>
      <c r="B25" s="2" t="s">
        <v>16</v>
      </c>
      <c r="C25" s="2" t="s">
        <v>25</v>
      </c>
      <c r="D25" s="2">
        <v>647</v>
      </c>
    </row>
    <row r="26" spans="1:4" x14ac:dyDescent="0.3">
      <c r="A26" s="3"/>
      <c r="B26" s="3" t="s">
        <v>26</v>
      </c>
      <c r="C26" s="3" t="s">
        <v>25</v>
      </c>
      <c r="D26" s="3">
        <v>7202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D13" sqref="D13"/>
    </sheetView>
  </sheetViews>
  <sheetFormatPr defaultRowHeight="14.4" x14ac:dyDescent="0.3"/>
  <cols>
    <col min="1" max="1" width="12" customWidth="1"/>
    <col min="2" max="2" width="34" customWidth="1"/>
    <col min="3" max="3" width="22" customWidth="1"/>
    <col min="4" max="4" width="50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s="9" customFormat="1" x14ac:dyDescent="0.3">
      <c r="A2" s="8" t="s">
        <v>10</v>
      </c>
      <c r="B2" s="8" t="s">
        <v>14</v>
      </c>
      <c r="C2" s="8">
        <v>5952.65</v>
      </c>
      <c r="D2" s="8" t="s">
        <v>27</v>
      </c>
    </row>
    <row r="3" spans="1:4" s="9" customFormat="1" x14ac:dyDescent="0.3">
      <c r="A3" s="8" t="s">
        <v>10</v>
      </c>
      <c r="B3" s="8" t="s">
        <v>11</v>
      </c>
      <c r="C3" s="8">
        <v>5144.63</v>
      </c>
      <c r="D3" s="8" t="s">
        <v>12</v>
      </c>
    </row>
    <row r="4" spans="1:4" s="9" customFormat="1" x14ac:dyDescent="0.3">
      <c r="A4" s="8" t="s">
        <v>28</v>
      </c>
      <c r="B4" s="8" t="s">
        <v>5</v>
      </c>
      <c r="C4" s="8">
        <v>5144.5</v>
      </c>
      <c r="D4" s="8" t="s">
        <v>29</v>
      </c>
    </row>
    <row r="5" spans="1:4" s="9" customFormat="1" x14ac:dyDescent="0.3">
      <c r="A5" s="8" t="s">
        <v>10</v>
      </c>
      <c r="B5" s="8" t="s">
        <v>17</v>
      </c>
      <c r="C5" s="8">
        <v>5066.5</v>
      </c>
      <c r="D5" s="8" t="s">
        <v>30</v>
      </c>
    </row>
    <row r="6" spans="1:4" s="9" customFormat="1" x14ac:dyDescent="0.3">
      <c r="A6" s="8" t="s">
        <v>10</v>
      </c>
      <c r="B6" s="8" t="s">
        <v>13</v>
      </c>
      <c r="C6" s="8">
        <v>4606</v>
      </c>
      <c r="D6" s="8" t="s">
        <v>12</v>
      </c>
    </row>
    <row r="7" spans="1:4" s="9" customFormat="1" x14ac:dyDescent="0.3">
      <c r="A7" s="8" t="s">
        <v>28</v>
      </c>
      <c r="B7" s="8" t="s">
        <v>8</v>
      </c>
      <c r="C7" s="8">
        <v>3630.53</v>
      </c>
      <c r="D7" s="8" t="s">
        <v>31</v>
      </c>
    </row>
    <row r="8" spans="1:4" s="9" customFormat="1" x14ac:dyDescent="0.3">
      <c r="A8" s="8" t="s">
        <v>28</v>
      </c>
      <c r="B8" s="8" t="s">
        <v>7</v>
      </c>
      <c r="C8" s="8">
        <v>3597.62</v>
      </c>
      <c r="D8" s="8" t="s">
        <v>32</v>
      </c>
    </row>
    <row r="9" spans="1:4" s="9" customFormat="1" x14ac:dyDescent="0.3">
      <c r="A9" s="8" t="s">
        <v>10</v>
      </c>
      <c r="B9" s="8" t="s">
        <v>15</v>
      </c>
      <c r="C9" s="8">
        <v>3223.4</v>
      </c>
      <c r="D9" s="8" t="s">
        <v>12</v>
      </c>
    </row>
    <row r="10" spans="1:4" s="9" customFormat="1" x14ac:dyDescent="0.3">
      <c r="A10" s="8" t="s">
        <v>10</v>
      </c>
      <c r="B10" s="8" t="s">
        <v>16</v>
      </c>
      <c r="C10" s="8">
        <v>2201.33</v>
      </c>
      <c r="D10" s="8" t="s">
        <v>27</v>
      </c>
    </row>
    <row r="11" spans="1:4" s="9" customFormat="1" x14ac:dyDescent="0.3">
      <c r="A11" s="8" t="s">
        <v>10</v>
      </c>
      <c r="B11" s="8" t="s">
        <v>18</v>
      </c>
      <c r="C11" s="8">
        <v>831.85</v>
      </c>
      <c r="D11" s="8" t="s">
        <v>12</v>
      </c>
    </row>
    <row r="12" spans="1:4" s="9" customFormat="1" x14ac:dyDescent="0.3">
      <c r="A12" s="8" t="s">
        <v>10</v>
      </c>
      <c r="B12" s="8" t="s">
        <v>19</v>
      </c>
      <c r="C12" s="8">
        <v>7.12</v>
      </c>
      <c r="D12" s="8" t="s">
        <v>12</v>
      </c>
    </row>
    <row r="13" spans="1:4" x14ac:dyDescent="0.3">
      <c r="A13" s="3"/>
      <c r="B13" s="3" t="s">
        <v>33</v>
      </c>
      <c r="C13" s="3">
        <v>39406.129999999997</v>
      </c>
      <c r="D13" s="6">
        <f>C13-Results!D5-Results!D17-Results!D19-Results!D21-Results!D26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J12" sqref="J12"/>
    </sheetView>
  </sheetViews>
  <sheetFormatPr defaultRowHeight="14.4" x14ac:dyDescent="0.3"/>
  <cols>
    <col min="1" max="1" width="23" customWidth="1"/>
    <col min="2" max="2" width="8" customWidth="1"/>
    <col min="3" max="3" width="19" customWidth="1"/>
    <col min="4" max="4" width="10" customWidth="1"/>
    <col min="5" max="5" width="21" customWidth="1"/>
  </cols>
  <sheetData>
    <row r="1" spans="1:5" x14ac:dyDescent="0.3">
      <c r="A1" s="1" t="s">
        <v>34</v>
      </c>
      <c r="B1" s="1" t="s">
        <v>0</v>
      </c>
      <c r="C1" s="1" t="s">
        <v>1</v>
      </c>
      <c r="D1" s="1" t="s">
        <v>35</v>
      </c>
      <c r="E1" s="1" t="s">
        <v>2</v>
      </c>
    </row>
    <row r="2" spans="1:5" x14ac:dyDescent="0.3">
      <c r="A2" s="4">
        <v>46126</v>
      </c>
      <c r="B2" s="5" t="s">
        <v>10</v>
      </c>
      <c r="C2" s="5" t="s">
        <v>36</v>
      </c>
      <c r="D2" s="5">
        <v>1000</v>
      </c>
      <c r="E2" s="5" t="s">
        <v>12</v>
      </c>
    </row>
    <row r="3" spans="1:5" x14ac:dyDescent="0.3">
      <c r="A3" s="4">
        <v>46140</v>
      </c>
      <c r="B3" s="5" t="s">
        <v>10</v>
      </c>
      <c r="C3" s="5" t="s">
        <v>37</v>
      </c>
      <c r="D3" s="5">
        <v>1200</v>
      </c>
      <c r="E3" s="5" t="s">
        <v>12</v>
      </c>
    </row>
    <row r="4" spans="1:5" x14ac:dyDescent="0.3">
      <c r="A4" s="4">
        <v>46140</v>
      </c>
      <c r="B4" s="5" t="s">
        <v>10</v>
      </c>
      <c r="C4" s="5" t="s">
        <v>36</v>
      </c>
      <c r="D4" s="5">
        <v>1000</v>
      </c>
      <c r="E4" s="5" t="s">
        <v>12</v>
      </c>
    </row>
    <row r="5" spans="1:5" x14ac:dyDescent="0.3">
      <c r="A5" s="4">
        <v>46118</v>
      </c>
      <c r="B5" s="5" t="s">
        <v>10</v>
      </c>
      <c r="C5" s="5" t="s">
        <v>38</v>
      </c>
      <c r="D5" s="5">
        <v>300</v>
      </c>
      <c r="E5" s="5" t="s">
        <v>25</v>
      </c>
    </row>
    <row r="6" spans="1:5" x14ac:dyDescent="0.3">
      <c r="A6" s="4">
        <v>46126</v>
      </c>
      <c r="B6" s="5" t="s">
        <v>10</v>
      </c>
      <c r="C6" s="5" t="s">
        <v>38</v>
      </c>
      <c r="D6" s="5">
        <v>300</v>
      </c>
      <c r="E6" s="5" t="s">
        <v>25</v>
      </c>
    </row>
    <row r="7" spans="1:5" x14ac:dyDescent="0.3">
      <c r="A7" s="4">
        <v>46139</v>
      </c>
      <c r="B7" s="5" t="s">
        <v>10</v>
      </c>
      <c r="C7" s="5" t="s">
        <v>38</v>
      </c>
      <c r="D7" s="5">
        <v>500</v>
      </c>
      <c r="E7" s="5" t="s">
        <v>25</v>
      </c>
    </row>
    <row r="8" spans="1:5" x14ac:dyDescent="0.3">
      <c r="A8" s="3"/>
      <c r="B8" s="3"/>
      <c r="C8" s="3" t="s">
        <v>39</v>
      </c>
      <c r="D8" s="3">
        <v>4300</v>
      </c>
      <c r="E8" s="3"/>
    </row>
    <row r="14" spans="1:5" x14ac:dyDescent="0.3">
      <c r="E14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E12" sqref="E12"/>
    </sheetView>
  </sheetViews>
  <sheetFormatPr defaultRowHeight="14.4" x14ac:dyDescent="0.3"/>
  <cols>
    <col min="1" max="1" width="12" customWidth="1"/>
    <col min="2" max="2" width="34" customWidth="1"/>
    <col min="3" max="3" width="16" customWidth="1"/>
    <col min="4" max="4" width="30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2" t="s">
        <v>10</v>
      </c>
      <c r="B2" s="2" t="s">
        <v>11</v>
      </c>
      <c r="C2" s="2">
        <v>5144.63</v>
      </c>
      <c r="D2" s="2" t="s">
        <v>12</v>
      </c>
    </row>
    <row r="3" spans="1:4" x14ac:dyDescent="0.3">
      <c r="A3" s="2" t="s">
        <v>10</v>
      </c>
      <c r="B3" s="2" t="s">
        <v>13</v>
      </c>
      <c r="C3" s="2">
        <v>4606</v>
      </c>
      <c r="D3" s="2" t="s">
        <v>12</v>
      </c>
    </row>
    <row r="4" spans="1:4" x14ac:dyDescent="0.3">
      <c r="A4" s="2" t="s">
        <v>10</v>
      </c>
      <c r="B4" s="2" t="s">
        <v>14</v>
      </c>
      <c r="C4" s="2">
        <v>4514.6499999999996</v>
      </c>
      <c r="D4" s="2" t="s">
        <v>12</v>
      </c>
    </row>
    <row r="5" spans="1:4" x14ac:dyDescent="0.3">
      <c r="A5" s="2" t="s">
        <v>28</v>
      </c>
      <c r="B5" s="2" t="s">
        <v>8</v>
      </c>
      <c r="C5" s="2">
        <v>3630.53</v>
      </c>
      <c r="D5" s="2" t="s">
        <v>31</v>
      </c>
    </row>
    <row r="6" spans="1:4" x14ac:dyDescent="0.3">
      <c r="A6" s="2" t="s">
        <v>10</v>
      </c>
      <c r="B6" s="2" t="s">
        <v>15</v>
      </c>
      <c r="C6" s="2">
        <v>3223.4</v>
      </c>
      <c r="D6" s="2" t="s">
        <v>12</v>
      </c>
    </row>
    <row r="7" spans="1:4" x14ac:dyDescent="0.3">
      <c r="A7" s="2" t="s">
        <v>28</v>
      </c>
      <c r="B7" s="2" t="s">
        <v>5</v>
      </c>
      <c r="C7" s="2">
        <v>2901.5</v>
      </c>
      <c r="D7" s="2" t="s">
        <v>31</v>
      </c>
    </row>
    <row r="8" spans="1:4" x14ac:dyDescent="0.3">
      <c r="A8" s="2" t="s">
        <v>28</v>
      </c>
      <c r="B8" s="2" t="s">
        <v>7</v>
      </c>
      <c r="C8" s="2">
        <v>2773.88</v>
      </c>
      <c r="D8" s="2" t="s">
        <v>31</v>
      </c>
    </row>
    <row r="9" spans="1:4" x14ac:dyDescent="0.3">
      <c r="A9" s="2" t="s">
        <v>10</v>
      </c>
      <c r="B9" s="2" t="s">
        <v>16</v>
      </c>
      <c r="C9" s="2">
        <v>1554.33</v>
      </c>
      <c r="D9" s="2" t="s">
        <v>12</v>
      </c>
    </row>
    <row r="10" spans="1:4" x14ac:dyDescent="0.3">
      <c r="A10" s="2" t="s">
        <v>10</v>
      </c>
      <c r="B10" s="2" t="s">
        <v>17</v>
      </c>
      <c r="C10" s="2">
        <v>1004.5</v>
      </c>
      <c r="D10" s="2" t="s">
        <v>12</v>
      </c>
    </row>
    <row r="11" spans="1:4" x14ac:dyDescent="0.3">
      <c r="A11" s="2" t="s">
        <v>10</v>
      </c>
      <c r="B11" s="2" t="s">
        <v>18</v>
      </c>
      <c r="C11" s="2">
        <v>831.85</v>
      </c>
      <c r="D11" s="2" t="s">
        <v>12</v>
      </c>
    </row>
    <row r="12" spans="1:4" x14ac:dyDescent="0.3">
      <c r="A12" s="2" t="s">
        <v>10</v>
      </c>
      <c r="B12" s="2" t="s">
        <v>19</v>
      </c>
      <c r="C12" s="2">
        <v>7.12</v>
      </c>
      <c r="D12" s="2" t="s">
        <v>12</v>
      </c>
    </row>
    <row r="13" spans="1:4" x14ac:dyDescent="0.3">
      <c r="A13" s="3"/>
      <c r="B13" s="3" t="s">
        <v>39</v>
      </c>
      <c r="C13" s="3">
        <v>30192.39</v>
      </c>
      <c r="D13" s="6">
        <f>C13-Results!D5-Results!D17</f>
        <v>0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G11" sqref="G11"/>
    </sheetView>
  </sheetViews>
  <sheetFormatPr defaultRowHeight="14.4" x14ac:dyDescent="0.3"/>
  <cols>
    <col min="1" max="1" width="8" customWidth="1"/>
    <col min="2" max="2" width="22" customWidth="1"/>
    <col min="3" max="3" width="16" customWidth="1"/>
    <col min="4" max="4" width="21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2" t="s">
        <v>10</v>
      </c>
      <c r="B2" s="2" t="s">
        <v>17</v>
      </c>
      <c r="C2" s="2">
        <v>2874</v>
      </c>
      <c r="D2" s="2" t="s">
        <v>25</v>
      </c>
    </row>
    <row r="3" spans="1:4" x14ac:dyDescent="0.3">
      <c r="A3" s="2" t="s">
        <v>10</v>
      </c>
      <c r="B3" s="2" t="s">
        <v>5</v>
      </c>
      <c r="C3" s="2">
        <v>2243</v>
      </c>
      <c r="D3" s="2" t="s">
        <v>25</v>
      </c>
    </row>
    <row r="4" spans="1:4" x14ac:dyDescent="0.3">
      <c r="A4" s="2" t="s">
        <v>10</v>
      </c>
      <c r="B4" s="2" t="s">
        <v>14</v>
      </c>
      <c r="C4" s="2">
        <v>1438</v>
      </c>
      <c r="D4" s="2" t="s">
        <v>25</v>
      </c>
    </row>
    <row r="5" spans="1:4" x14ac:dyDescent="0.3">
      <c r="A5" s="2" t="s">
        <v>10</v>
      </c>
      <c r="B5" s="2" t="s">
        <v>16</v>
      </c>
      <c r="C5" s="2">
        <v>647</v>
      </c>
      <c r="D5" s="2" t="s">
        <v>25</v>
      </c>
    </row>
    <row r="6" spans="1:4" x14ac:dyDescent="0.3">
      <c r="A6" s="3"/>
      <c r="B6" s="3" t="s">
        <v>39</v>
      </c>
      <c r="C6" s="3">
        <v>7202</v>
      </c>
      <c r="D6" s="6">
        <f>C6-Results!D26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D2" sqref="D2"/>
    </sheetView>
  </sheetViews>
  <sheetFormatPr defaultRowHeight="14.4" x14ac:dyDescent="0.3"/>
  <cols>
    <col min="1" max="1" width="8" customWidth="1"/>
    <col min="2" max="2" width="17" customWidth="1"/>
    <col min="3" max="3" width="16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3"/>
      <c r="B2" s="3" t="s">
        <v>39</v>
      </c>
      <c r="C2" s="10">
        <v>2781</v>
      </c>
      <c r="D2" s="3">
        <f>C2*0.01</f>
        <v>27.810000000000002</v>
      </c>
    </row>
    <row r="4" spans="1:4" x14ac:dyDescent="0.3">
      <c r="C4" s="7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K11" sqref="K11"/>
    </sheetView>
  </sheetViews>
  <sheetFormatPr defaultRowHeight="14.4" x14ac:dyDescent="0.3"/>
  <cols>
    <col min="1" max="1" width="8" customWidth="1"/>
    <col min="2" max="2" width="17" customWidth="1"/>
    <col min="3" max="3" width="16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3"/>
      <c r="B2" s="3" t="s">
        <v>39</v>
      </c>
      <c r="C2" s="10">
        <v>9511.5</v>
      </c>
      <c r="D2" s="3">
        <f>C2*0.01</f>
        <v>95.114999999999995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Summary</vt:lpstr>
      <vt:lpstr>Salary</vt:lpstr>
      <vt:lpstr>მომსახ დელ</vt:lpstr>
      <vt:lpstr>მომსახ ცელ</vt:lpstr>
      <vt:lpstr>ზუკა</vt:lpstr>
      <vt:lpstr>ირმა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nino kharazishvilli</cp:lastModifiedBy>
  <dcterms:created xsi:type="dcterms:W3CDTF">2026-05-12T08:20:32Z</dcterms:created>
  <dcterms:modified xsi:type="dcterms:W3CDTF">2026-05-14T10:31:11Z</dcterms:modified>
</cp:coreProperties>
</file>