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ana\deliverer\დეკლარაცია\აპრილი 26\"/>
    </mc:Choice>
  </mc:AlternateContent>
  <xr:revisionPtr revIDLastSave="0" documentId="13_ncr:1_{2AEBF901-C096-46B3-9A2B-2F001899440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GE90TB7716236080100009-GEL" sheetId="4" r:id="rId1"/>
    <sheet name="Sheet1" sheetId="5" r:id="rId2"/>
  </sheets>
  <definedNames>
    <definedName name="_xlnm._FilterDatabase" localSheetId="0" hidden="1">'GE90TB7716236080100009-GEL'!$A$1:$Z$181</definedName>
  </definedNames>
  <calcPr calcId="191029"/>
</workbook>
</file>

<file path=xl/calcChain.xml><?xml version="1.0" encoding="utf-8"?>
<calcChain xmlns="http://schemas.openxmlformats.org/spreadsheetml/2006/main">
  <c r="F14" i="5" l="1"/>
  <c r="F13" i="5"/>
  <c r="F12" i="5"/>
  <c r="F11" i="5"/>
  <c r="F10" i="5"/>
  <c r="F9" i="5"/>
  <c r="F8" i="5"/>
  <c r="F7" i="5"/>
  <c r="F6" i="5"/>
  <c r="F5" i="5"/>
  <c r="F4" i="5"/>
  <c r="E4" i="5"/>
  <c r="E14" i="5"/>
  <c r="E13" i="5"/>
  <c r="E12" i="5"/>
  <c r="E11" i="5"/>
  <c r="E10" i="5"/>
  <c r="E9" i="5"/>
  <c r="E8" i="5"/>
  <c r="E7" i="5"/>
  <c r="E6" i="5"/>
  <c r="E5" i="5"/>
  <c r="G11" i="5" l="1"/>
  <c r="G12" i="5"/>
  <c r="G5" i="5"/>
  <c r="G13" i="5"/>
  <c r="G6" i="5"/>
  <c r="G14" i="5"/>
  <c r="G9" i="5"/>
  <c r="G10" i="5"/>
  <c r="G7" i="5"/>
  <c r="G4" i="5"/>
  <c r="G8" i="5"/>
</calcChain>
</file>

<file path=xl/sharedStrings.xml><?xml version="1.0" encoding="utf-8"?>
<sst xmlns="http://schemas.openxmlformats.org/spreadsheetml/2006/main" count="2357" uniqueCount="444">
  <si>
    <t>Date</t>
  </si>
  <si>
    <t>Description</t>
  </si>
  <si>
    <t>Additional Information</t>
  </si>
  <si>
    <t>Paid Out</t>
  </si>
  <si>
    <t>Paid In</t>
  </si>
  <si>
    <t>Balance</t>
  </si>
  <si>
    <t>Type</t>
  </si>
  <si>
    <t>Document Date</t>
  </si>
  <si>
    <t>Document Number</t>
  </si>
  <si>
    <t>Partner's Account</t>
  </si>
  <si>
    <t>Partner's Name</t>
  </si>
  <si>
    <t>Partner's Tax Code</t>
  </si>
  <si>
    <t>Partner's Bank Code</t>
  </si>
  <si>
    <t>Partner's Bank</t>
  </si>
  <si>
    <t>Intermediary Bank Code</t>
  </si>
  <si>
    <t>Intermediary Bank</t>
  </si>
  <si>
    <t>Charge Details</t>
  </si>
  <si>
    <t>Taxpayer Code</t>
  </si>
  <si>
    <t>Taxpayer Name</t>
  </si>
  <si>
    <t>Treasury Code</t>
  </si>
  <si>
    <t>Op. Code</t>
  </si>
  <si>
    <t>Additional Description</t>
  </si>
  <si>
    <t>Transaction ID</t>
  </si>
  <si>
    <t>ლაიფსთორი</t>
  </si>
  <si>
    <t>ბესარიონი ფაჩულია, 35001107730, TBCBGE22, GE31TB7024045064300028</t>
  </si>
  <si>
    <t/>
  </si>
  <si>
    <t>შემოსავალი</t>
  </si>
  <si>
    <t>GE31TB7024045064300028</t>
  </si>
  <si>
    <t>ბესარიონი ფაჩულია, 35001107730</t>
  </si>
  <si>
    <t>35001107730</t>
  </si>
  <si>
    <t>TBCBGE22</t>
  </si>
  <si>
    <t>სს "თიბისი ბანკი"</t>
  </si>
  <si>
    <t>GMB</t>
  </si>
  <si>
    <t>ინვოისი 313349.113</t>
  </si>
  <si>
    <t>შპს 'სოკარ  ჯორჯია პეტროლეუმი', TBCBGE22, GE66TB0614336020100002</t>
  </si>
  <si>
    <t>გადარიცხვა თანხის გატანა</t>
  </si>
  <si>
    <t>GE66TB0614336020100002</t>
  </si>
  <si>
    <t>შპს 'სოკარ  ჯორჯია პეტროლეუმი'</t>
  </si>
  <si>
    <t>202352514</t>
  </si>
  <si>
    <t>405357180</t>
  </si>
  <si>
    <t>შპს დელივერერს, 405357180</t>
  </si>
  <si>
    <t>GIB</t>
  </si>
  <si>
    <t>მომსახურების ანაზღაურება</t>
  </si>
  <si>
    <t>ი/მ ოთარ კუპრეიშვილი, 42401042214, TBCBGE22, GE76TB7494745068100005</t>
  </si>
  <si>
    <t>GE76TB7494745068100005</t>
  </si>
  <si>
    <t>ი/მ ოთარ კუპრეიშვილი, 42401042214</t>
  </si>
  <si>
    <t>42401042214</t>
  </si>
  <si>
    <t>ძირითადი თანხის დაფარვა;შპს დელივერერს;7007162-14773527</t>
  </si>
  <si>
    <t>ძირითადი თანხა - ბიზნეს სესხები, TBCBGE22, GE36TB0001201000001007</t>
  </si>
  <si>
    <t>სხვა ხარჯები</t>
  </si>
  <si>
    <t>GE36TB0001201000001007</t>
  </si>
  <si>
    <t>ძირითადი თანხა - ბიზნეს სესხები</t>
  </si>
  <si>
    <t>ს.ს. თიბისი ბანკი</t>
  </si>
  <si>
    <t>*LPPR</t>
  </si>
  <si>
    <t>პროცენტის დაფარვა;შპს დელივერერს;7007162-14773527</t>
  </si>
  <si>
    <t>დარიცხული პროცენტი - ბიზნეს სესხები, TBCBGE22, GE94TB0001201000102007</t>
  </si>
  <si>
    <t>GE94TB0001201000102007</t>
  </si>
  <si>
    <t>დარიცხული პროცენტი - ბიზნეს სესხები</t>
  </si>
  <si>
    <t>*LPIN</t>
  </si>
  <si>
    <t>საკურიერო მომსახურება</t>
  </si>
  <si>
    <t>საქველმოქმედო ფონდი საკვების ბანკი, 404572440, TBCBGE22, GE36TB7791936080100009</t>
  </si>
  <si>
    <t>GE36TB7791936080100009</t>
  </si>
  <si>
    <t>საქველმოქმედო ფონდი საკვების ბანკი, 404572440</t>
  </si>
  <si>
    <t>404572440</t>
  </si>
  <si>
    <t>9072</t>
  </si>
  <si>
    <t>დავით სვირავა, 62003016407, TBCBGE22, GE89TB7657745063600036</t>
  </si>
  <si>
    <t>GE89TB7657745063600036</t>
  </si>
  <si>
    <t>დავით სვირავა, 62003016407</t>
  </si>
  <si>
    <t>62003016407</t>
  </si>
  <si>
    <t>0841</t>
  </si>
  <si>
    <t>ი/მ მიხეილ ლომჯარია, 01010000461, TBCBGE22, GE80TB7792445061600016</t>
  </si>
  <si>
    <t>GE80TB7792445061600016</t>
  </si>
  <si>
    <t>ი/მ მიხეილ ლომჯარია, 01010000461</t>
  </si>
  <si>
    <t>01010000461</t>
  </si>
  <si>
    <t>საკურიერო მომსახურება 01,03,2026-31,03,2026 ინვოისი 40 02,04,2026</t>
  </si>
  <si>
    <t>შპს ეკობრენდს ჯორჯია, MIBGGE22, GE81PC0133600100036116</t>
  </si>
  <si>
    <t>GE81PC0133600100036116</t>
  </si>
  <si>
    <t>შპს ეკობრენდს ჯორჯია</t>
  </si>
  <si>
    <t>202050564</t>
  </si>
  <si>
    <t>MIBGGE22</t>
  </si>
  <si>
    <t>სს "პროკრედიტ ბანკი, საქართველო"</t>
  </si>
  <si>
    <t>BULK</t>
  </si>
  <si>
    <t>ქეშების თანხა 21 მარტი - 31 მარტი</t>
  </si>
  <si>
    <t>შპს ლაიფ სთორი, TBCBGE22, GE38TB7826036080100014</t>
  </si>
  <si>
    <t>GE38TB7826036080100014</t>
  </si>
  <si>
    <t>შპს ლაიფ სთორი</t>
  </si>
  <si>
    <t>438125574</t>
  </si>
  <si>
    <t>ეა-85 4293405</t>
  </si>
  <si>
    <t>შპს  ალფაინ სფაისიზ, BAGAGE22, GE77BG0000000212886100</t>
  </si>
  <si>
    <t>GE77BG0000000212886100</t>
  </si>
  <si>
    <t>შპს  ალფაინ სფაისიზ</t>
  </si>
  <si>
    <t>405204639</t>
  </si>
  <si>
    <t>BAGAGE22</t>
  </si>
  <si>
    <t>სს "საქართველოს ბანკი"</t>
  </si>
  <si>
    <t>Ref 2385</t>
  </si>
  <si>
    <t>შპს სი ენ სი, BAGAGE22, GE64BG0000000541143452</t>
  </si>
  <si>
    <t>GE64BG0000000541143452</t>
  </si>
  <si>
    <t>შპს სი ენ სი</t>
  </si>
  <si>
    <t>405096435</t>
  </si>
  <si>
    <t>Ref 0125</t>
  </si>
  <si>
    <t>საკურიერო მომსახურება ინვ 37</t>
  </si>
  <si>
    <t>შპს ფილუეტ ჯორჯია, 404388783, TBCBGE22, GE58TB7135636020100001</t>
  </si>
  <si>
    <t>GE58TB7135636020100001</t>
  </si>
  <si>
    <t>შპს ფილუეტ ჯორჯია, 404388783</t>
  </si>
  <si>
    <t>404388783</t>
  </si>
  <si>
    <t>დელივერი</t>
  </si>
  <si>
    <t>შპს ორგანიკა, 405172316, TBCBGE22, GE26TB7345536080100005</t>
  </si>
  <si>
    <t>GE26TB7345536080100005</t>
  </si>
  <si>
    <t>შპს ორგანიკა, 405172316</t>
  </si>
  <si>
    <t>405172316</t>
  </si>
  <si>
    <t>0197</t>
  </si>
  <si>
    <t>9813</t>
  </si>
  <si>
    <t>მარტის თვის საკურიერო მომსახურება</t>
  </si>
  <si>
    <t>შპს რითეილ ბიზნეს გრუპ, BAGAGE22, GE34BG0000000039117000</t>
  </si>
  <si>
    <t>GE34BG0000000039117000</t>
  </si>
  <si>
    <t>შპს რითეილ ბიზნეს გრუპ</t>
  </si>
  <si>
    <t>205268529</t>
  </si>
  <si>
    <t>Ref 30001</t>
  </si>
  <si>
    <t>შპს ვიგრუპ, BAGAGE22, GE05BG0000000161605727</t>
  </si>
  <si>
    <t>GE05BG0000000161605727</t>
  </si>
  <si>
    <t>შპს ვიგრუპ</t>
  </si>
  <si>
    <t>405278284</t>
  </si>
  <si>
    <t>Ref 28362</t>
  </si>
  <si>
    <t>შპს სიო ეკოთრეიდი, BAGAGE22, GE97BG0000000609061094</t>
  </si>
  <si>
    <t>GE97BG0000000609061094</t>
  </si>
  <si>
    <t>შპს სიო ეკოთრეიდი</t>
  </si>
  <si>
    <t>402340196</t>
  </si>
  <si>
    <t>Ref 0221</t>
  </si>
  <si>
    <t>INVOICE 1 DATE: 02.04.2026</t>
  </si>
  <si>
    <t>შპს პრაიმ რითეილ გრუპ, 405118894, TBCBGE22, GE71TB7868136020100002</t>
  </si>
  <si>
    <t>GE71TB7868136020100002</t>
  </si>
  <si>
    <t>შპს პრაიმ რითეილ გრუპ, 405118894</t>
  </si>
  <si>
    <t>405118894</t>
  </si>
  <si>
    <t>ინვოისი 313349.114</t>
  </si>
  <si>
    <t>INVOICE  32</t>
  </si>
  <si>
    <t>შპს კაფსულები, 405340082, TBCBGE22, GE09TB7830236020100006</t>
  </si>
  <si>
    <t>GE09TB7830236020100006</t>
  </si>
  <si>
    <t>შპს კაფსულები, 405340082</t>
  </si>
  <si>
    <t>405340082</t>
  </si>
  <si>
    <t>INVOICE  42</t>
  </si>
  <si>
    <t>შპს ტუტტო, 429328104, TBCBGE22, GE73TB7361436080100013</t>
  </si>
  <si>
    <t>GE73TB7361436080100013</t>
  </si>
  <si>
    <t>შპს ტუტტო, 429328104</t>
  </si>
  <si>
    <t>429328104</t>
  </si>
  <si>
    <t>DELIVERERS  N 17</t>
  </si>
  <si>
    <t>შპს ალპი, 405292776, TBCBGE22, GE42TB7696236020100001</t>
  </si>
  <si>
    <t>GE42TB7696236020100001</t>
  </si>
  <si>
    <t>შპს ალპი, 405292776</t>
  </si>
  <si>
    <t>405292776</t>
  </si>
  <si>
    <t>0544</t>
  </si>
  <si>
    <t>ი/მ გიორგი მეტრეველი, 01401103956, TBCBGE22, GE88TB7774945064300063</t>
  </si>
  <si>
    <t>GE88TB7774945064300063</t>
  </si>
  <si>
    <t>ი/მ გიორგი მეტრეველი, 01401103956</t>
  </si>
  <si>
    <t>01401103956</t>
  </si>
  <si>
    <t>0513</t>
  </si>
  <si>
    <t>0515</t>
  </si>
  <si>
    <t>0549</t>
  </si>
  <si>
    <t>მარტის საკურიერო მომსახურება</t>
  </si>
  <si>
    <t>შპს კოსმო, 427736355, TBCBGE22, GE82TB7695836080100009</t>
  </si>
  <si>
    <t>GE82TB7695836080100009</t>
  </si>
  <si>
    <t>შპს კოსმო, 427736355</t>
  </si>
  <si>
    <t>427736355</t>
  </si>
  <si>
    <t>21.03.2026-31. 03.2026 საკურიერო და   საკომისიო INVOICE 6</t>
  </si>
  <si>
    <t>შპს ლაიფ სთორი, 438125574, TBCBGE22, GE38TB7826036080100014</t>
  </si>
  <si>
    <t>შპს ლაიფ სთორი, 438125574</t>
  </si>
  <si>
    <t>საკურიერო მომსახურების ღირებულება</t>
  </si>
  <si>
    <t>შპს გრინ ლაბ, 405422127, TBCBGE22, GE37TB7517136020100025</t>
  </si>
  <si>
    <t>GE37TB7517136020100025</t>
  </si>
  <si>
    <t>შპს გრინ ლაბ, 405422127</t>
  </si>
  <si>
    <t>405422127</t>
  </si>
  <si>
    <t>შპს მაისიდი, 405483481, TBCBGE22, GE75TB7672636020100005</t>
  </si>
  <si>
    <t>GE75TB7672636020100005</t>
  </si>
  <si>
    <t>შპს მაისიდი, 405483481</t>
  </si>
  <si>
    <t>405483481</t>
  </si>
  <si>
    <t>დელივერი მომსახურება -მიკრო სატვირთოს მომსახურება</t>
  </si>
  <si>
    <t>შპს ფეიფერართ, 406207769, TBCBGE22, GE58TB7306836080100006</t>
  </si>
  <si>
    <t>GE58TB7306836080100006</t>
  </si>
  <si>
    <t>შპს ფეიფერართ, 406207769</t>
  </si>
  <si>
    <t>406207769</t>
  </si>
  <si>
    <t>ი/მ გიორგი მეტრეველი, TBCBGE22, GE30TB7774936010100044</t>
  </si>
  <si>
    <t>GE30TB7774936010100044</t>
  </si>
  <si>
    <t>ი/მ გიორგი მეტრეველი</t>
  </si>
  <si>
    <t>კვარაცხელია ნინო, BAGAGE22, GE20BG0000000496131200</t>
  </si>
  <si>
    <t>GE20BG0000000496131200</t>
  </si>
  <si>
    <t>კვარაცხელია ნინო</t>
  </si>
  <si>
    <t>GIN</t>
  </si>
  <si>
    <t>გადარიცხვის საკომისიო</t>
  </si>
  <si>
    <t>საკომისიო შემოსავალი - იურიდიული პირების გარე გადარიცხვები, TBCBGE22, GE97TB0006001030220310</t>
  </si>
  <si>
    <t>GE97TB0006001030220310</t>
  </si>
  <si>
    <t>საკომისიო შემოსავალი - იურიდიული პირების გარე გადარიცხვები</t>
  </si>
  <si>
    <t>ოთარ კუპრეიშვილი, TBCBGE22, GE76TB7494745068100005</t>
  </si>
  <si>
    <t>ოთარ კუპრეიშვილი</t>
  </si>
  <si>
    <t>ელოიძე რობერტ, BAGAGE22, GE72BG0000000161067238</t>
  </si>
  <si>
    <t>GE72BG0000000161067238</t>
  </si>
  <si>
    <t>ელოიძე რობერტ</t>
  </si>
  <si>
    <t>საბა ცაგარეიშვილი, TBCBGE22, GE38TB7777445061100032</t>
  </si>
  <si>
    <t>GE38TB7777445061100032</t>
  </si>
  <si>
    <t>საბა ცაგარეიშვილი</t>
  </si>
  <si>
    <t>01001083359</t>
  </si>
  <si>
    <t>შეკვეთა 7170 დანიშნულება: SMS მომსახურება 2026-04-06</t>
  </si>
  <si>
    <t>შპს კიბერ მარკეტინგი, TBCBGE22, GE31TB7744736020100005</t>
  </si>
  <si>
    <t>GE31TB7744736020100005</t>
  </si>
  <si>
    <t>შპს კიბერ მარკეტინგი</t>
  </si>
  <si>
    <t>400162676</t>
  </si>
  <si>
    <t>საიჯარო ქირა</t>
  </si>
  <si>
    <t>ილია გოზალიშვილი, TBCBGE22, GE26TB7281745064300037</t>
  </si>
  <si>
    <t>GE26TB7281745064300037</t>
  </si>
  <si>
    <t>ილია გოზალიშვილი</t>
  </si>
  <si>
    <t>13001000574</t>
  </si>
  <si>
    <t>დაკარგული ამანათის საფასური</t>
  </si>
  <si>
    <t>სალომე ჩაგანავა, TBCBGE22, GE05TB7499245061600021</t>
  </si>
  <si>
    <t>GE05TB7499245061600021</t>
  </si>
  <si>
    <t>სალომე ჩაგანავა</t>
  </si>
  <si>
    <t>02001020933</t>
  </si>
  <si>
    <t>01.03.26 - 31.03.26 - საკურიერო მომსახურება Invoice . 15 Date. 02.04.2026</t>
  </si>
  <si>
    <t>შპს ჯეოთრეიდინგ 2015, BAGAGE22, GE31BG0000000606494692</t>
  </si>
  <si>
    <t>GE31BG0000000606494692</t>
  </si>
  <si>
    <t>შპს ჯეოთრეიდინგ 2015</t>
  </si>
  <si>
    <t>404492839</t>
  </si>
  <si>
    <t>Ref 0061</t>
  </si>
  <si>
    <t>ინვოისის 1 თანახმად საკურიერო მომსახურების ღირებულება</t>
  </si>
  <si>
    <t>შპს ზიონ ორანჟერია, 405504547, TBCBGE22, GE81TB7605836050100002</t>
  </si>
  <si>
    <t>GE81TB7605836050100002</t>
  </si>
  <si>
    <t>შპს ზიონ ორანჟერია, 405504547</t>
  </si>
  <si>
    <t>405504547</t>
  </si>
  <si>
    <t>შპს კროკო შოპ, 445747041, TBCBGE22, GE98TB7596636070100004</t>
  </si>
  <si>
    <t>GE98TB7596636070100004</t>
  </si>
  <si>
    <t>შპს კროკო შოპ, 445747041</t>
  </si>
  <si>
    <t>445747041</t>
  </si>
  <si>
    <t>01.03.2026-31.03.2026</t>
  </si>
  <si>
    <t>1105</t>
  </si>
  <si>
    <t>საბა ცაგარეიშვილი, 01001083359, TBCBGE22, GE38TB7777445061100032</t>
  </si>
  <si>
    <t>საბა ცაგარეიშვილი, 01001083359</t>
  </si>
  <si>
    <t>ყოველთვიური მომსახურების საკომისიო, deliverers.ge.app, მარტი,5303409,50.00,E commerce</t>
  </si>
  <si>
    <t>დებიტორები - POS ტერმინალების მომსახურების საკომისიო, TBCBGE22, GE30TB0000025013100015</t>
  </si>
  <si>
    <t>GE30TB0000025013100015</t>
  </si>
  <si>
    <t>დებიტორები - POS ტერმინალების მომსახურების საკომისიო</t>
  </si>
  <si>
    <t>*POS*</t>
  </si>
  <si>
    <t>ყოველთვიური მომსახურების საკომისიო, Deliverers.ge, მარტი,5302481,50.00,E commerce</t>
  </si>
  <si>
    <t>საკურიერო მომსახურება. ინვოისი 11</t>
  </si>
  <si>
    <t>შპს ველვეტ.ჯი, 405699481, TBCBGE22, GE57TB7213836080100018</t>
  </si>
  <si>
    <t>GE57TB7213836080100018</t>
  </si>
  <si>
    <t>შპს ველვეტ.ჯი, 405699481</t>
  </si>
  <si>
    <t>405699481</t>
  </si>
  <si>
    <t>შპს ლინიტი, BAGAGE22, GE96BG0000000525224497</t>
  </si>
  <si>
    <t>GE96BG0000000525224497</t>
  </si>
  <si>
    <t>შპს ლინიტი</t>
  </si>
  <si>
    <t>404620601</t>
  </si>
  <si>
    <t>Ref 2848</t>
  </si>
  <si>
    <t>1716</t>
  </si>
  <si>
    <t>საკურიერო მომსახურება ინ 23</t>
  </si>
  <si>
    <t>შპს ფეთვერსი, 439420011, TBCBGE22, GE72TB7384536020100011</t>
  </si>
  <si>
    <t>GE72TB7384536020100011</t>
  </si>
  <si>
    <t>შპს ფეთვერსი, 439420011</t>
  </si>
  <si>
    <t>439420011</t>
  </si>
  <si>
    <t>მომსახურების ანაზღაურება ინვოისი 33</t>
  </si>
  <si>
    <t>შპს ზინურუ, 405385079, TBCBGE22, GE31TB7471736080100007</t>
  </si>
  <si>
    <t>GE31TB7471736080100007</t>
  </si>
  <si>
    <t>შპს ზინურუ, 405385079</t>
  </si>
  <si>
    <t>405385079</t>
  </si>
  <si>
    <t>01.03.26 - 31.03.26 - საკურიერო მომსახურება</t>
  </si>
  <si>
    <t>შპს ზოოლაიფი +, 204566807, TBCBGE22, GE40TB1197936020100002</t>
  </si>
  <si>
    <t>GE40TB1197936020100002</t>
  </si>
  <si>
    <t>შპს ზოოლაიფი +, 204566807</t>
  </si>
  <si>
    <t>204566807</t>
  </si>
  <si>
    <t>საკურიერო მომსახურება ინვ.28</t>
  </si>
  <si>
    <t>შპს ოლდ სუფრა, 405339511, TBCBGE22, GE03TB7881436080100008</t>
  </si>
  <si>
    <t>GE03TB7881436080100008</t>
  </si>
  <si>
    <t>შპს ოლდ სუფრა, 405339511</t>
  </si>
  <si>
    <t>405339511</t>
  </si>
  <si>
    <t>ინვოისის თანახმად</t>
  </si>
  <si>
    <t>შპს 'ორიფლეიმ ჯორჯია', 202166459, TBCBGE22, GE02TB1100000025467801</t>
  </si>
  <si>
    <t>GE02TB1100000025467801</t>
  </si>
  <si>
    <t>შპს 'ორიფლეიმ ჯორჯია', 202166459</t>
  </si>
  <si>
    <t>202166459</t>
  </si>
  <si>
    <t>GDB</t>
  </si>
  <si>
    <t>2131426</t>
  </si>
  <si>
    <t>საკურიერო მომსახურება 21.03.26-31.03.26 ინვოისი  N: 45-3/03</t>
  </si>
  <si>
    <t>შპს 'სუპერი', 205050905, TBCBGE22, GE28TB1100000108467517</t>
  </si>
  <si>
    <t>GE28TB1100000108467517</t>
  </si>
  <si>
    <t>შპს 'სუპერი', 205050905</t>
  </si>
  <si>
    <t>205050905</t>
  </si>
  <si>
    <t>2239</t>
  </si>
  <si>
    <t>2221, 2240</t>
  </si>
  <si>
    <t>2238</t>
  </si>
  <si>
    <t>საკურიერო მომსახურება 03.2026</t>
  </si>
  <si>
    <t>შპს მედიფარი, 405237140, TBCBGE22, GE63TB7553336080100007</t>
  </si>
  <si>
    <t>GE63TB7553336080100007</t>
  </si>
  <si>
    <t>შპს მედიფარი, 405237140</t>
  </si>
  <si>
    <t>405237140</t>
  </si>
  <si>
    <t>ბადრი სირაძე, TBCBGE22, GE67TB7692345061100079</t>
  </si>
  <si>
    <t>GE67TB7692345061100079</t>
  </si>
  <si>
    <t>ბადრი სირაძე</t>
  </si>
  <si>
    <t>22001020425</t>
  </si>
  <si>
    <t>დავით სვირავა, TBCBGE22, GE89TB7657745063600036</t>
  </si>
  <si>
    <t>დავით სვირავა</t>
  </si>
  <si>
    <t>დავითი საყვარელიძე, TBCBGE22, GE75TB7898145064300054</t>
  </si>
  <si>
    <t>GE75TB7898145064300054</t>
  </si>
  <si>
    <t>დავითი საყვარელიძე</t>
  </si>
  <si>
    <t>38001048993</t>
  </si>
  <si>
    <t>მიხეილ ლომჯარია, TBCBGE22, GE80TB7792445061600016</t>
  </si>
  <si>
    <t>მიხეილ ლომჯარია</t>
  </si>
  <si>
    <t>საკუთარ ანგარიშზე გადარიცხვა</t>
  </si>
  <si>
    <t>შპს დელივერერს, 405357180, TBCBGE22, GE04TB7716245067800002</t>
  </si>
  <si>
    <t>საკუთარ ანგარიშებს შორის გადარიცხვა</t>
  </si>
  <si>
    <t>GE04TB7716245067800002</t>
  </si>
  <si>
    <t>GII</t>
  </si>
  <si>
    <t>2241</t>
  </si>
  <si>
    <t>2465</t>
  </si>
  <si>
    <t>2561</t>
  </si>
  <si>
    <t>შპს ჰერ სთორი 2019, 405733069, TBCBGE22, GE29TB7877336020100007</t>
  </si>
  <si>
    <t>GE29TB7877336020100007</t>
  </si>
  <si>
    <t>შპს ჰერ სთორი 2019, 405733069</t>
  </si>
  <si>
    <t>405733069</t>
  </si>
  <si>
    <t>2228 2482</t>
  </si>
  <si>
    <t>ი/მ ბადრი სირაძე, 22001020425, TBCBGE22, GE67TB7692345061100079</t>
  </si>
  <si>
    <t>ი/მ ბადრი სირაძე, 22001020425</t>
  </si>
  <si>
    <t>2228</t>
  </si>
  <si>
    <t>ქეშების თანხა 01 აპრილი - 10 აპრილი</t>
  </si>
  <si>
    <t>ხელფასი</t>
  </si>
  <si>
    <t>ზურაბი  თომაძე, TBCBGE22, GE39TB7810145063600009</t>
  </si>
  <si>
    <t>GE39TB7810145063600009</t>
  </si>
  <si>
    <t>ზურაბი  თომაძე</t>
  </si>
  <si>
    <t>01017025072</t>
  </si>
  <si>
    <t>276401</t>
  </si>
  <si>
    <t>შპს 'ჯობს. გე', TBCBGE22, GE23TB0600000107467123</t>
  </si>
  <si>
    <t>GE23TB0600000107467123</t>
  </si>
  <si>
    <t>შპს 'ჯობს. გე'</t>
  </si>
  <si>
    <t>205035282</t>
  </si>
  <si>
    <t>3006</t>
  </si>
  <si>
    <t>მომსახურების ანაზღაურება მარტი</t>
  </si>
  <si>
    <t>ინდივიდუალური მეწარმე ბობო ქარ, TBCBGE22, GE49TB7880536010100048</t>
  </si>
  <si>
    <t>GE49TB7880536010100048</t>
  </si>
  <si>
    <t>ინდივიდუალური მეწარმე ბობო ქარ</t>
  </si>
  <si>
    <t>01017036626</t>
  </si>
  <si>
    <t>3007. 2729</t>
  </si>
  <si>
    <t>მელაძე გიორგი, BAGAGE22, GE19BG0000000101042070</t>
  </si>
  <si>
    <t>GE19BG0000000101042070</t>
  </si>
  <si>
    <t>მელაძე გიორგი</t>
  </si>
  <si>
    <t>გადასახადების ერთიანი კოდი</t>
  </si>
  <si>
    <t>ხაზინის ერთიანი ანგარიში. საგადასახადო ინსპექცია (გადასახადები), TRESGE22, 101001000</t>
  </si>
  <si>
    <t>საბიუჯეტო გადარიცხვები</t>
  </si>
  <si>
    <t>101001000</t>
  </si>
  <si>
    <t>ხაზინის ერთიანი ანგარიში. საგადასახადო ინსპექცია (გადასახადები)</t>
  </si>
  <si>
    <t>TRESGE22</t>
  </si>
  <si>
    <t>ფინანსთა სამინისტროს სახაზინო სამსახური</t>
  </si>
  <si>
    <t>GIT</t>
  </si>
  <si>
    <t>საშემოსავლო გადასახადი და დღგ</t>
  </si>
  <si>
    <t>საპენსიო შენატანი</t>
  </si>
  <si>
    <t>სსიპ საქართველოს საპენსიო ფონდი, TBCBGE22, GE88TB7458336020100010</t>
  </si>
  <si>
    <t>GE88TB7458336020100010</t>
  </si>
  <si>
    <t>სსიპ საქართველოს საპენსიო ფონდი</t>
  </si>
  <si>
    <t>205364407</t>
  </si>
  <si>
    <t>ინვოისი 313349.115</t>
  </si>
  <si>
    <t>საკურიერო მომსახურება 01.04.26-10.04.26  ინვოისი  N 46-1/04  16.04.2026  დელივერერს</t>
  </si>
  <si>
    <t>2719</t>
  </si>
  <si>
    <t>3881,3557</t>
  </si>
  <si>
    <t>ტრანსპორტირების ხარჯი</t>
  </si>
  <si>
    <t>ი/მ ნინო მწარიაშვილი, BAGAGE22, GE82BG0000000582430984</t>
  </si>
  <si>
    <t>GE82BG0000000582430984</t>
  </si>
  <si>
    <t>ი/მ ნინო მწარიაშვილი</t>
  </si>
  <si>
    <t>13001063468</t>
  </si>
  <si>
    <t>ი.მ ნინო მწარიაშვილი</t>
  </si>
  <si>
    <t>Ref 2021</t>
  </si>
  <si>
    <t>01.04.2026-10.04.2026 საკურიერო და   საკომისიო  INVOICE 7 9 DATE 14.04.2026</t>
  </si>
  <si>
    <t>შპს არომატი ჯგუფი, 433655458, TBCBGE22, GE78TB7052936080100022</t>
  </si>
  <si>
    <t>GE78TB7052936080100022</t>
  </si>
  <si>
    <t>შპს არომატი ჯგუფი, 433655458</t>
  </si>
  <si>
    <t>433655458</t>
  </si>
  <si>
    <t>სს სუფთა სახლი, 202458893, TBCBGE22, GE63TB4685536020100002</t>
  </si>
  <si>
    <t>GE63TB4685536020100002</t>
  </si>
  <si>
    <t>სს სუფთა სახლი, 202458893</t>
  </si>
  <si>
    <t>202458893</t>
  </si>
  <si>
    <t>2727</t>
  </si>
  <si>
    <t>4559</t>
  </si>
  <si>
    <t>4222</t>
  </si>
  <si>
    <t>3922</t>
  </si>
  <si>
    <t>გიორგი მხეიძე 4879</t>
  </si>
  <si>
    <t>ი/მ გიორგი მხეიძე, 60001146662, TBCBGE22, GE21TB7990045061600025</t>
  </si>
  <si>
    <t>GE21TB7990045061600025</t>
  </si>
  <si>
    <t>ი/მ გიორგი მხეიძე, 60001146662</t>
  </si>
  <si>
    <t>60001146662</t>
  </si>
  <si>
    <t>4932</t>
  </si>
  <si>
    <t>Silknet – Pay by Account ID;300592789;თანხა:69.40;საკ.:0.50</t>
  </si>
  <si>
    <t>გადარიცხვების სატრანზიტო ანგარიში - Ucc, TBCBGE22, GE59TB0000000450109787</t>
  </si>
  <si>
    <t>კომუნალური, მობილური, ჯარიმები</t>
  </si>
  <si>
    <t>GE59TB0000000450109787</t>
  </si>
  <si>
    <t>გადარიცხვების სატრანზიტო ანგარიში - Ucc</t>
  </si>
  <si>
    <t>*IBS*</t>
  </si>
  <si>
    <t>MPS_TRAN_ID_2883842861</t>
  </si>
  <si>
    <t>საკომისიო: Silknet – Pay by Account ID;300592789;თანხა:69.40;საკ.:0.50</t>
  </si>
  <si>
    <t>IBSFE</t>
  </si>
  <si>
    <t>TELMICO;4466447;თანხა:121.22;საკ.:0.50</t>
  </si>
  <si>
    <t>MPS_TRAN_ID_2883842678</t>
  </si>
  <si>
    <t>საკომისიო: TELMICO;4466447;თანხა:121.22;საკ.:0.50</t>
  </si>
  <si>
    <t>GWP;751144431;თანხა:27.13;საკ.:0.50</t>
  </si>
  <si>
    <t>MPS_TRAN_ID_2883842946</t>
  </si>
  <si>
    <t>საკომისიო: GWP;751144431;თანხა:27.13;საკ.:0.50</t>
  </si>
  <si>
    <t>შპს დელივერერს;  თამარი ადამია 01017044991, TBCBGE22, GE04TB7716245067800002</t>
  </si>
  <si>
    <t>შპს დელივერერს;  თამარი ადამია 01017044991</t>
  </si>
  <si>
    <t>ინვოისი 46083</t>
  </si>
  <si>
    <t>შპს ჰოსტნოუდსი, TBCBGE22, GE72TB7796536080100004</t>
  </si>
  <si>
    <t>GE72TB7796536080100004</t>
  </si>
  <si>
    <t>შპს ჰოსტნოუდსი</t>
  </si>
  <si>
    <t>420423198</t>
  </si>
  <si>
    <t>ქეშების თანხა 11 აპრილი - 20 აპრილი</t>
  </si>
  <si>
    <t>10.04.2026-20.04.2026 საკურიერო და   საკომისიო  INVOICE 8  DATE 21.04.2026</t>
  </si>
  <si>
    <t>5792</t>
  </si>
  <si>
    <t>გიორგი მხეიძე 6032</t>
  </si>
  <si>
    <t>278672</t>
  </si>
  <si>
    <t>000488005</t>
  </si>
  <si>
    <t>შპს 'დასაქმების სააგენტო ეიჩარი', TBCBGE22, GE04TB3593136020100006</t>
  </si>
  <si>
    <t>GE04TB3593136020100006</t>
  </si>
  <si>
    <t>შპს 'დასაქმების სააგენტო ეიჩარი'</t>
  </si>
  <si>
    <t>204554259</t>
  </si>
  <si>
    <t>6228 ლაიფსთორი</t>
  </si>
  <si>
    <t>გიორგი მხეიძე 6356</t>
  </si>
  <si>
    <t>6558</t>
  </si>
  <si>
    <t>6600</t>
  </si>
  <si>
    <t>6230</t>
  </si>
  <si>
    <t>SMS მომსახურების საკომისიო, აპრილი, 2026</t>
  </si>
  <si>
    <t>დებიტორები - SMS მომსახურების საკომისიო, TBCBGE22, GE14TB0000025013100012</t>
  </si>
  <si>
    <t>GE14TB0000025013100012</t>
  </si>
  <si>
    <t>დებიტორები - SMS მომსახურების საკომისიო</t>
  </si>
  <si>
    <t>SMSC</t>
  </si>
  <si>
    <t>6796</t>
  </si>
  <si>
    <t>6863</t>
  </si>
  <si>
    <t>ინვოისი 313349.116</t>
  </si>
  <si>
    <t>5357</t>
  </si>
  <si>
    <t>ინვოისის 2 თანახმად საკურიერო მომსახურების ღირებულება</t>
  </si>
  <si>
    <t>შპს ნამი 8, 405514019, TBCBGE22, GE60TB7796836080100011</t>
  </si>
  <si>
    <t>GE60TB7796836080100011</t>
  </si>
  <si>
    <t>შპს ნამი 8, 405514019</t>
  </si>
  <si>
    <t>405514019</t>
  </si>
  <si>
    <t>6862</t>
  </si>
  <si>
    <t>ნანა კურცხალია, TBCBGE22, GE30TB7381545061600024</t>
  </si>
  <si>
    <t>GE30TB7381545061600024</t>
  </si>
  <si>
    <t>ნანა კურცხალია</t>
  </si>
  <si>
    <t>01003003707</t>
  </si>
  <si>
    <t>საკურიერო მომსახურება 11.04.26-20.04.26  ინვოისი  N 46-2/04  21.04.2026  დელივერერს</t>
  </si>
  <si>
    <t>გიორგი მხეიძე 6969</t>
  </si>
  <si>
    <t>279934</t>
  </si>
  <si>
    <t>7770</t>
  </si>
  <si>
    <t>7032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</si>
</sst>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indexed="8"/>
      <name val="Calibri"/>
      <family val="2"/>
      <scheme val="minor"/>
    </font>
    <font>
      <sz val="9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181"/>
  <sheetViews>
    <sheetView tabSelected="1" workbookViewId="0">
      <selection activeCell="D66" sqref="D66:D96"/>
    </sheetView>
  </sheetViews>
  <sheetFormatPr defaultColWidth="9.109375" defaultRowHeight="11.4" x14ac:dyDescent="0.2"/>
  <cols>
    <col min="1" max="1" width="9.88671875" style="2" customWidth="1"/>
    <col min="2" max="2" width="58.109375" style="2" customWidth="1"/>
    <col min="3" max="3" width="72.44140625" style="2" customWidth="1"/>
    <col min="4" max="4" width="13.5546875" style="2" customWidth="1"/>
    <col min="5" max="5" width="15.6640625" style="2" customWidth="1"/>
    <col min="6" max="6" width="9.88671875" style="2" bestFit="1" customWidth="1"/>
    <col min="7" max="7" width="31.88671875" style="2" customWidth="1"/>
    <col min="8" max="8" width="15.6640625" style="2" customWidth="1"/>
    <col min="9" max="9" width="14.44140625" style="2" customWidth="1"/>
    <col min="10" max="10" width="21.6640625" style="2" customWidth="1"/>
    <col min="11" max="11" width="40.88671875" style="2" customWidth="1"/>
    <col min="12" max="12" width="30.88671875" style="2" customWidth="1"/>
    <col min="13" max="13" width="24.109375" style="2" customWidth="1"/>
    <col min="14" max="15" width="23" style="2" customWidth="1"/>
    <col min="16" max="16" width="16.88671875" style="2" customWidth="1"/>
    <col min="17" max="17" width="12.44140625" style="2" customWidth="1"/>
    <col min="18" max="18" width="30.88671875" style="2" customWidth="1"/>
    <col min="19" max="19" width="37.5546875" style="2" customWidth="1"/>
    <col min="20" max="20" width="14.6640625" style="2" customWidth="1"/>
    <col min="21" max="21" width="8.44140625" style="2" customWidth="1"/>
    <col min="22" max="22" width="24.6640625" style="2" customWidth="1"/>
    <col min="23" max="23" width="14" style="2" bestFit="1" customWidth="1"/>
    <col min="24" max="24" width="9.109375" style="2" customWidth="1"/>
    <col min="25" max="16384" width="9.109375" style="2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</row>
    <row r="2" spans="1:23" hidden="1" x14ac:dyDescent="0.2">
      <c r="A2" s="4">
        <v>46113</v>
      </c>
      <c r="B2" s="2" t="s">
        <v>23</v>
      </c>
      <c r="C2" s="2" t="s">
        <v>24</v>
      </c>
      <c r="D2" s="5" t="s">
        <v>25</v>
      </c>
      <c r="E2" s="5">
        <v>67</v>
      </c>
      <c r="F2" s="5">
        <v>10330.780000000001</v>
      </c>
      <c r="G2" s="2" t="s">
        <v>26</v>
      </c>
      <c r="H2" s="4">
        <v>46113</v>
      </c>
      <c r="I2" s="2">
        <v>1774991775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R2" s="2" t="s">
        <v>29</v>
      </c>
      <c r="S2" s="2" t="s">
        <v>28</v>
      </c>
      <c r="T2" s="2" t="s">
        <v>25</v>
      </c>
      <c r="U2" s="2" t="s">
        <v>32</v>
      </c>
      <c r="W2" s="2">
        <v>19226691072</v>
      </c>
    </row>
    <row r="3" spans="1:23" hidden="1" x14ac:dyDescent="0.2">
      <c r="A3" s="4">
        <v>46113</v>
      </c>
      <c r="B3" s="2" t="s">
        <v>33</v>
      </c>
      <c r="C3" s="2" t="s">
        <v>34</v>
      </c>
      <c r="D3" s="5">
        <v>259.2</v>
      </c>
      <c r="E3" s="5" t="s">
        <v>25</v>
      </c>
      <c r="F3" s="5">
        <v>10071.58</v>
      </c>
      <c r="G3" s="2" t="s">
        <v>35</v>
      </c>
      <c r="H3" s="4">
        <v>46113</v>
      </c>
      <c r="I3" s="2">
        <v>1775028368</v>
      </c>
      <c r="J3" s="2" t="s">
        <v>36</v>
      </c>
      <c r="K3" s="2" t="s">
        <v>37</v>
      </c>
      <c r="L3" s="2" t="s">
        <v>38</v>
      </c>
      <c r="M3" s="2" t="s">
        <v>30</v>
      </c>
      <c r="N3" s="2" t="s">
        <v>31</v>
      </c>
      <c r="R3" s="2" t="s">
        <v>39</v>
      </c>
      <c r="S3" s="2" t="s">
        <v>40</v>
      </c>
      <c r="T3" s="2" t="s">
        <v>25</v>
      </c>
      <c r="U3" s="2" t="s">
        <v>41</v>
      </c>
      <c r="W3" s="2">
        <v>19228960324</v>
      </c>
    </row>
    <row r="4" spans="1:23" hidden="1" x14ac:dyDescent="0.2">
      <c r="A4" s="4">
        <v>46113</v>
      </c>
      <c r="B4" s="2" t="s">
        <v>42</v>
      </c>
      <c r="C4" s="2" t="s">
        <v>43</v>
      </c>
      <c r="D4" s="5" t="s">
        <v>25</v>
      </c>
      <c r="E4" s="5">
        <v>235</v>
      </c>
      <c r="F4" s="5">
        <v>10306.58</v>
      </c>
      <c r="G4" s="2" t="s">
        <v>26</v>
      </c>
      <c r="H4" s="4">
        <v>46113</v>
      </c>
      <c r="I4" s="2">
        <v>1775063791</v>
      </c>
      <c r="J4" s="2" t="s">
        <v>44</v>
      </c>
      <c r="K4" s="2" t="s">
        <v>45</v>
      </c>
      <c r="L4" s="2" t="s">
        <v>46</v>
      </c>
      <c r="M4" s="2" t="s">
        <v>30</v>
      </c>
      <c r="N4" s="2" t="s">
        <v>31</v>
      </c>
      <c r="R4" s="2" t="s">
        <v>46</v>
      </c>
      <c r="S4" s="2" t="s">
        <v>45</v>
      </c>
      <c r="T4" s="2" t="s">
        <v>25</v>
      </c>
      <c r="U4" s="2" t="s">
        <v>32</v>
      </c>
      <c r="W4" s="2">
        <v>19238216238</v>
      </c>
    </row>
    <row r="5" spans="1:23" hidden="1" x14ac:dyDescent="0.2">
      <c r="A5" s="4">
        <v>46113</v>
      </c>
      <c r="B5" s="2" t="s">
        <v>47</v>
      </c>
      <c r="C5" s="2" t="s">
        <v>48</v>
      </c>
      <c r="D5" s="5">
        <v>752.01</v>
      </c>
      <c r="E5" s="5" t="s">
        <v>25</v>
      </c>
      <c r="F5" s="5">
        <v>9554.57</v>
      </c>
      <c r="G5" s="2" t="s">
        <v>49</v>
      </c>
      <c r="H5" s="4">
        <v>46113</v>
      </c>
      <c r="I5" s="2">
        <v>2271785</v>
      </c>
      <c r="J5" s="2" t="s">
        <v>50</v>
      </c>
      <c r="K5" s="2" t="s">
        <v>51</v>
      </c>
      <c r="L5" s="2" t="s">
        <v>25</v>
      </c>
      <c r="M5" s="2" t="s">
        <v>30</v>
      </c>
      <c r="N5" s="2" t="s">
        <v>52</v>
      </c>
      <c r="T5" s="2" t="s">
        <v>25</v>
      </c>
      <c r="U5" s="2" t="s">
        <v>53</v>
      </c>
      <c r="W5" s="2">
        <v>19239211470</v>
      </c>
    </row>
    <row r="6" spans="1:23" hidden="1" x14ac:dyDescent="0.2">
      <c r="A6" s="4">
        <v>46113</v>
      </c>
      <c r="B6" s="2" t="s">
        <v>54</v>
      </c>
      <c r="C6" s="2" t="s">
        <v>55</v>
      </c>
      <c r="D6" s="5">
        <v>389.54</v>
      </c>
      <c r="E6" s="5" t="s">
        <v>25</v>
      </c>
      <c r="F6" s="5">
        <v>9165.0300000000007</v>
      </c>
      <c r="G6" s="2" t="s">
        <v>49</v>
      </c>
      <c r="H6" s="4">
        <v>46113</v>
      </c>
      <c r="I6" s="2">
        <v>2271787</v>
      </c>
      <c r="J6" s="2" t="s">
        <v>56</v>
      </c>
      <c r="K6" s="2" t="s">
        <v>57</v>
      </c>
      <c r="L6" s="2" t="s">
        <v>25</v>
      </c>
      <c r="M6" s="2" t="s">
        <v>30</v>
      </c>
      <c r="N6" s="2" t="s">
        <v>52</v>
      </c>
      <c r="T6" s="2" t="s">
        <v>25</v>
      </c>
      <c r="U6" s="2" t="s">
        <v>58</v>
      </c>
      <c r="W6" s="2">
        <v>19239211474</v>
      </c>
    </row>
    <row r="7" spans="1:23" hidden="1" x14ac:dyDescent="0.2">
      <c r="A7" s="4">
        <v>46114</v>
      </c>
      <c r="B7" s="2" t="s">
        <v>59</v>
      </c>
      <c r="C7" s="2" t="s">
        <v>60</v>
      </c>
      <c r="D7" s="5" t="s">
        <v>25</v>
      </c>
      <c r="E7" s="5">
        <v>1668.52</v>
      </c>
      <c r="F7" s="5">
        <v>10833.55</v>
      </c>
      <c r="G7" s="2" t="s">
        <v>26</v>
      </c>
      <c r="H7" s="4">
        <v>46114</v>
      </c>
      <c r="I7" s="2">
        <v>1775113606</v>
      </c>
      <c r="J7" s="2" t="s">
        <v>61</v>
      </c>
      <c r="K7" s="2" t="s">
        <v>62</v>
      </c>
      <c r="L7" s="2" t="s">
        <v>63</v>
      </c>
      <c r="M7" s="2" t="s">
        <v>30</v>
      </c>
      <c r="N7" s="2" t="s">
        <v>31</v>
      </c>
      <c r="R7" s="2" t="s">
        <v>63</v>
      </c>
      <c r="S7" s="2" t="s">
        <v>62</v>
      </c>
      <c r="T7" s="2" t="s">
        <v>25</v>
      </c>
      <c r="U7" s="2" t="s">
        <v>41</v>
      </c>
      <c r="W7" s="2">
        <v>19240801189</v>
      </c>
    </row>
    <row r="8" spans="1:23" hidden="1" x14ac:dyDescent="0.2">
      <c r="A8" s="4">
        <v>46114</v>
      </c>
      <c r="B8" s="2" t="s">
        <v>64</v>
      </c>
      <c r="C8" s="2" t="s">
        <v>65</v>
      </c>
      <c r="D8" s="5" t="s">
        <v>25</v>
      </c>
      <c r="E8" s="5">
        <v>55</v>
      </c>
      <c r="F8" s="5">
        <v>10888.55</v>
      </c>
      <c r="G8" s="2" t="s">
        <v>26</v>
      </c>
      <c r="H8" s="4">
        <v>46114</v>
      </c>
      <c r="I8" s="2">
        <v>1775113900</v>
      </c>
      <c r="J8" s="2" t="s">
        <v>66</v>
      </c>
      <c r="K8" s="2" t="s">
        <v>67</v>
      </c>
      <c r="L8" s="2" t="s">
        <v>68</v>
      </c>
      <c r="M8" s="2" t="s">
        <v>30</v>
      </c>
      <c r="N8" s="2" t="s">
        <v>31</v>
      </c>
      <c r="R8" s="2" t="s">
        <v>68</v>
      </c>
      <c r="S8" s="2" t="s">
        <v>67</v>
      </c>
      <c r="T8" s="2" t="s">
        <v>25</v>
      </c>
      <c r="U8" s="2" t="s">
        <v>32</v>
      </c>
      <c r="W8" s="2">
        <v>19240847445</v>
      </c>
    </row>
    <row r="9" spans="1:23" hidden="1" x14ac:dyDescent="0.2">
      <c r="A9" s="4">
        <v>46114</v>
      </c>
      <c r="B9" s="2" t="s">
        <v>69</v>
      </c>
      <c r="C9" s="2" t="s">
        <v>70</v>
      </c>
      <c r="D9" s="5" t="s">
        <v>25</v>
      </c>
      <c r="E9" s="5">
        <v>100</v>
      </c>
      <c r="F9" s="5">
        <v>10988.55</v>
      </c>
      <c r="G9" s="2" t="s">
        <v>26</v>
      </c>
      <c r="H9" s="4">
        <v>46114</v>
      </c>
      <c r="I9" s="2">
        <v>1775115382</v>
      </c>
      <c r="J9" s="2" t="s">
        <v>71</v>
      </c>
      <c r="K9" s="2" t="s">
        <v>72</v>
      </c>
      <c r="L9" s="2" t="s">
        <v>73</v>
      </c>
      <c r="M9" s="2" t="s">
        <v>30</v>
      </c>
      <c r="N9" s="2" t="s">
        <v>31</v>
      </c>
      <c r="R9" s="2" t="s">
        <v>73</v>
      </c>
      <c r="S9" s="2" t="s">
        <v>72</v>
      </c>
      <c r="T9" s="2" t="s">
        <v>25</v>
      </c>
      <c r="U9" s="2" t="s">
        <v>32</v>
      </c>
      <c r="W9" s="2">
        <v>19241101353</v>
      </c>
    </row>
    <row r="10" spans="1:23" hidden="1" x14ac:dyDescent="0.2">
      <c r="A10" s="4">
        <v>46114</v>
      </c>
      <c r="B10" s="2" t="s">
        <v>74</v>
      </c>
      <c r="C10" s="2" t="s">
        <v>75</v>
      </c>
      <c r="D10" s="5" t="s">
        <v>25</v>
      </c>
      <c r="E10" s="5">
        <v>2526.38</v>
      </c>
      <c r="F10" s="5">
        <v>13514.93</v>
      </c>
      <c r="G10" s="2" t="s">
        <v>26</v>
      </c>
      <c r="H10" s="4">
        <v>46114</v>
      </c>
      <c r="I10" s="2">
        <v>2</v>
      </c>
      <c r="J10" s="2" t="s">
        <v>76</v>
      </c>
      <c r="K10" s="2" t="s">
        <v>77</v>
      </c>
      <c r="L10" s="2" t="s">
        <v>78</v>
      </c>
      <c r="M10" s="2" t="s">
        <v>79</v>
      </c>
      <c r="N10" s="2" t="s">
        <v>80</v>
      </c>
      <c r="R10" s="2" t="s">
        <v>78</v>
      </c>
      <c r="S10" s="2" t="s">
        <v>77</v>
      </c>
      <c r="T10" s="2" t="s">
        <v>25</v>
      </c>
      <c r="U10" s="2" t="s">
        <v>81</v>
      </c>
      <c r="W10" s="2">
        <v>19245309805</v>
      </c>
    </row>
    <row r="11" spans="1:23" hidden="1" x14ac:dyDescent="0.2">
      <c r="A11" s="4">
        <v>46114</v>
      </c>
      <c r="B11" s="2" t="s">
        <v>82</v>
      </c>
      <c r="C11" s="2" t="s">
        <v>83</v>
      </c>
      <c r="D11" s="5">
        <v>2510</v>
      </c>
      <c r="E11" s="5" t="s">
        <v>25</v>
      </c>
      <c r="F11" s="5">
        <v>11004.93</v>
      </c>
      <c r="G11" s="2" t="s">
        <v>35</v>
      </c>
      <c r="H11" s="4">
        <v>46114</v>
      </c>
      <c r="I11" s="2">
        <v>1775127914</v>
      </c>
      <c r="J11" s="2" t="s">
        <v>84</v>
      </c>
      <c r="K11" s="2" t="s">
        <v>85</v>
      </c>
      <c r="L11" s="2" t="s">
        <v>86</v>
      </c>
      <c r="M11" s="2" t="s">
        <v>30</v>
      </c>
      <c r="N11" s="2" t="s">
        <v>31</v>
      </c>
      <c r="R11" s="2" t="s">
        <v>39</v>
      </c>
      <c r="S11" s="2" t="s">
        <v>40</v>
      </c>
      <c r="T11" s="2" t="s">
        <v>25</v>
      </c>
      <c r="U11" s="2" t="s">
        <v>41</v>
      </c>
      <c r="W11" s="2">
        <v>19245323645</v>
      </c>
    </row>
    <row r="12" spans="1:23" hidden="1" x14ac:dyDescent="0.2">
      <c r="A12" s="4">
        <v>46114</v>
      </c>
      <c r="B12" s="2" t="s">
        <v>87</v>
      </c>
      <c r="C12" s="2" t="s">
        <v>88</v>
      </c>
      <c r="D12" s="5" t="s">
        <v>25</v>
      </c>
      <c r="E12" s="5">
        <v>460.2</v>
      </c>
      <c r="F12" s="5">
        <v>11465.13</v>
      </c>
      <c r="G12" s="2" t="s">
        <v>26</v>
      </c>
      <c r="H12" s="4">
        <v>46114</v>
      </c>
      <c r="I12" s="2">
        <v>2385</v>
      </c>
      <c r="J12" s="2" t="s">
        <v>89</v>
      </c>
      <c r="K12" s="2" t="s">
        <v>90</v>
      </c>
      <c r="L12" s="2" t="s">
        <v>91</v>
      </c>
      <c r="M12" s="2" t="s">
        <v>92</v>
      </c>
      <c r="N12" s="2" t="s">
        <v>93</v>
      </c>
      <c r="R12" s="2" t="s">
        <v>91</v>
      </c>
      <c r="S12" s="2" t="s">
        <v>90</v>
      </c>
      <c r="T12" s="2" t="s">
        <v>25</v>
      </c>
      <c r="U12" s="2" t="s">
        <v>81</v>
      </c>
      <c r="V12" s="2" t="s">
        <v>94</v>
      </c>
      <c r="W12" s="2">
        <v>19247006331</v>
      </c>
    </row>
    <row r="13" spans="1:23" hidden="1" x14ac:dyDescent="0.2">
      <c r="A13" s="4">
        <v>46114</v>
      </c>
      <c r="B13" s="2" t="s">
        <v>42</v>
      </c>
      <c r="C13" s="2" t="s">
        <v>95</v>
      </c>
      <c r="D13" s="5" t="s">
        <v>25</v>
      </c>
      <c r="E13" s="5">
        <v>103.25</v>
      </c>
      <c r="F13" s="5">
        <v>11568.38</v>
      </c>
      <c r="G13" s="2" t="s">
        <v>26</v>
      </c>
      <c r="H13" s="4">
        <v>46114</v>
      </c>
      <c r="I13" s="2">
        <v>125</v>
      </c>
      <c r="J13" s="2" t="s">
        <v>96</v>
      </c>
      <c r="K13" s="2" t="s">
        <v>97</v>
      </c>
      <c r="L13" s="2" t="s">
        <v>98</v>
      </c>
      <c r="M13" s="2" t="s">
        <v>92</v>
      </c>
      <c r="N13" s="2" t="s">
        <v>93</v>
      </c>
      <c r="R13" s="2" t="s">
        <v>98</v>
      </c>
      <c r="S13" s="2" t="s">
        <v>97</v>
      </c>
      <c r="T13" s="2" t="s">
        <v>25</v>
      </c>
      <c r="U13" s="2" t="s">
        <v>81</v>
      </c>
      <c r="V13" s="2" t="s">
        <v>99</v>
      </c>
      <c r="W13" s="2">
        <v>19247037259</v>
      </c>
    </row>
    <row r="14" spans="1:23" hidden="1" x14ac:dyDescent="0.2">
      <c r="A14" s="4">
        <v>46114</v>
      </c>
      <c r="B14" s="2" t="s">
        <v>100</v>
      </c>
      <c r="C14" s="2" t="s">
        <v>101</v>
      </c>
      <c r="D14" s="5" t="s">
        <v>25</v>
      </c>
      <c r="E14" s="5">
        <v>1359.95</v>
      </c>
      <c r="F14" s="5">
        <v>12928.33</v>
      </c>
      <c r="G14" s="2" t="s">
        <v>26</v>
      </c>
      <c r="H14" s="4">
        <v>46114</v>
      </c>
      <c r="I14" s="2">
        <v>1775128455</v>
      </c>
      <c r="J14" s="2" t="s">
        <v>102</v>
      </c>
      <c r="K14" s="2" t="s">
        <v>103</v>
      </c>
      <c r="L14" s="2" t="s">
        <v>104</v>
      </c>
      <c r="M14" s="2" t="s">
        <v>30</v>
      </c>
      <c r="N14" s="2" t="s">
        <v>31</v>
      </c>
      <c r="R14" s="2" t="s">
        <v>104</v>
      </c>
      <c r="S14" s="2" t="s">
        <v>103</v>
      </c>
      <c r="T14" s="2" t="s">
        <v>25</v>
      </c>
      <c r="U14" s="2" t="s">
        <v>41</v>
      </c>
      <c r="W14" s="2">
        <v>19247153753</v>
      </c>
    </row>
    <row r="15" spans="1:23" hidden="1" x14ac:dyDescent="0.2">
      <c r="A15" s="4">
        <v>46114</v>
      </c>
      <c r="B15" s="2" t="s">
        <v>105</v>
      </c>
      <c r="C15" s="2" t="s">
        <v>106</v>
      </c>
      <c r="D15" s="5" t="s">
        <v>25</v>
      </c>
      <c r="E15" s="5">
        <v>1677.96</v>
      </c>
      <c r="F15" s="5">
        <v>14606.29</v>
      </c>
      <c r="G15" s="2" t="s">
        <v>26</v>
      </c>
      <c r="H15" s="4">
        <v>46114</v>
      </c>
      <c r="I15" s="2">
        <v>1775141656</v>
      </c>
      <c r="J15" s="2" t="s">
        <v>107</v>
      </c>
      <c r="K15" s="2" t="s">
        <v>108</v>
      </c>
      <c r="L15" s="2" t="s">
        <v>109</v>
      </c>
      <c r="M15" s="2" t="s">
        <v>30</v>
      </c>
      <c r="N15" s="2" t="s">
        <v>31</v>
      </c>
      <c r="R15" s="2" t="s">
        <v>109</v>
      </c>
      <c r="S15" s="2" t="s">
        <v>108</v>
      </c>
      <c r="T15" s="2" t="s">
        <v>25</v>
      </c>
      <c r="U15" s="2" t="s">
        <v>32</v>
      </c>
      <c r="W15" s="2">
        <v>19249519887</v>
      </c>
    </row>
    <row r="16" spans="1:23" hidden="1" x14ac:dyDescent="0.2">
      <c r="A16" s="4">
        <v>46114</v>
      </c>
      <c r="B16" s="2" t="s">
        <v>110</v>
      </c>
      <c r="C16" s="2" t="s">
        <v>65</v>
      </c>
      <c r="D16" s="5" t="s">
        <v>25</v>
      </c>
      <c r="E16" s="5">
        <v>100</v>
      </c>
      <c r="F16" s="5">
        <v>14706.29</v>
      </c>
      <c r="G16" s="2" t="s">
        <v>26</v>
      </c>
      <c r="H16" s="4">
        <v>46114</v>
      </c>
      <c r="I16" s="2">
        <v>1775156085</v>
      </c>
      <c r="J16" s="2" t="s">
        <v>66</v>
      </c>
      <c r="K16" s="2" t="s">
        <v>67</v>
      </c>
      <c r="L16" s="2" t="s">
        <v>68</v>
      </c>
      <c r="M16" s="2" t="s">
        <v>30</v>
      </c>
      <c r="N16" s="2" t="s">
        <v>31</v>
      </c>
      <c r="R16" s="2" t="s">
        <v>68</v>
      </c>
      <c r="S16" s="2" t="s">
        <v>67</v>
      </c>
      <c r="T16" s="2" t="s">
        <v>25</v>
      </c>
      <c r="U16" s="2" t="s">
        <v>32</v>
      </c>
      <c r="W16" s="2">
        <v>19251465361</v>
      </c>
    </row>
    <row r="17" spans="1:23" hidden="1" x14ac:dyDescent="0.2">
      <c r="A17" s="4">
        <v>46114</v>
      </c>
      <c r="B17" s="2" t="s">
        <v>111</v>
      </c>
      <c r="C17" s="2" t="s">
        <v>65</v>
      </c>
      <c r="D17" s="5" t="s">
        <v>25</v>
      </c>
      <c r="E17" s="5">
        <v>64</v>
      </c>
      <c r="F17" s="5">
        <v>14770.29</v>
      </c>
      <c r="G17" s="2" t="s">
        <v>26</v>
      </c>
      <c r="H17" s="4">
        <v>46114</v>
      </c>
      <c r="I17" s="2">
        <v>1775156439</v>
      </c>
      <c r="J17" s="2" t="s">
        <v>66</v>
      </c>
      <c r="K17" s="2" t="s">
        <v>67</v>
      </c>
      <c r="L17" s="2" t="s">
        <v>68</v>
      </c>
      <c r="M17" s="2" t="s">
        <v>30</v>
      </c>
      <c r="N17" s="2" t="s">
        <v>31</v>
      </c>
      <c r="R17" s="2" t="s">
        <v>68</v>
      </c>
      <c r="S17" s="2" t="s">
        <v>67</v>
      </c>
      <c r="T17" s="2" t="s">
        <v>25</v>
      </c>
      <c r="U17" s="2" t="s">
        <v>32</v>
      </c>
      <c r="W17" s="2">
        <v>19251485999</v>
      </c>
    </row>
    <row r="18" spans="1:23" hidden="1" x14ac:dyDescent="0.2">
      <c r="A18" s="4">
        <v>46115</v>
      </c>
      <c r="B18" s="2" t="s">
        <v>112</v>
      </c>
      <c r="C18" s="2" t="s">
        <v>113</v>
      </c>
      <c r="D18" s="5" t="s">
        <v>25</v>
      </c>
      <c r="E18" s="5">
        <v>230.1</v>
      </c>
      <c r="F18" s="5">
        <v>15000.39</v>
      </c>
      <c r="G18" s="2" t="s">
        <v>26</v>
      </c>
      <c r="H18" s="4">
        <v>46114</v>
      </c>
      <c r="I18" s="2">
        <v>30001</v>
      </c>
      <c r="J18" s="2" t="s">
        <v>114</v>
      </c>
      <c r="K18" s="2" t="s">
        <v>115</v>
      </c>
      <c r="L18" s="2" t="s">
        <v>116</v>
      </c>
      <c r="M18" s="2" t="s">
        <v>92</v>
      </c>
      <c r="N18" s="2" t="s">
        <v>93</v>
      </c>
      <c r="R18" s="2" t="s">
        <v>116</v>
      </c>
      <c r="S18" s="2" t="s">
        <v>115</v>
      </c>
      <c r="T18" s="2" t="s">
        <v>25</v>
      </c>
      <c r="U18" s="2" t="s">
        <v>81</v>
      </c>
      <c r="V18" s="2" t="s">
        <v>117</v>
      </c>
      <c r="W18" s="2">
        <v>19252669005</v>
      </c>
    </row>
    <row r="19" spans="1:23" hidden="1" x14ac:dyDescent="0.2">
      <c r="A19" s="4">
        <v>46115</v>
      </c>
      <c r="B19" s="2" t="s">
        <v>112</v>
      </c>
      <c r="C19" s="2" t="s">
        <v>118</v>
      </c>
      <c r="D19" s="5" t="s">
        <v>25</v>
      </c>
      <c r="E19" s="5">
        <v>268.45</v>
      </c>
      <c r="F19" s="5">
        <v>15268.84</v>
      </c>
      <c r="G19" s="2" t="s">
        <v>26</v>
      </c>
      <c r="H19" s="4">
        <v>46114</v>
      </c>
      <c r="I19" s="2">
        <v>28362</v>
      </c>
      <c r="J19" s="2" t="s">
        <v>119</v>
      </c>
      <c r="K19" s="2" t="s">
        <v>120</v>
      </c>
      <c r="L19" s="2" t="s">
        <v>121</v>
      </c>
      <c r="M19" s="2" t="s">
        <v>92</v>
      </c>
      <c r="N19" s="2" t="s">
        <v>93</v>
      </c>
      <c r="R19" s="2" t="s">
        <v>121</v>
      </c>
      <c r="S19" s="2" t="s">
        <v>120</v>
      </c>
      <c r="T19" s="2" t="s">
        <v>25</v>
      </c>
      <c r="U19" s="2" t="s">
        <v>81</v>
      </c>
      <c r="V19" s="2" t="s">
        <v>122</v>
      </c>
      <c r="W19" s="2">
        <v>19252678725</v>
      </c>
    </row>
    <row r="20" spans="1:23" hidden="1" x14ac:dyDescent="0.2">
      <c r="A20" s="4">
        <v>46115</v>
      </c>
      <c r="B20" s="2" t="s">
        <v>42</v>
      </c>
      <c r="C20" s="2" t="s">
        <v>123</v>
      </c>
      <c r="D20" s="5" t="s">
        <v>25</v>
      </c>
      <c r="E20" s="5">
        <v>241.31</v>
      </c>
      <c r="F20" s="5">
        <v>15510.15</v>
      </c>
      <c r="G20" s="2" t="s">
        <v>26</v>
      </c>
      <c r="H20" s="4">
        <v>46115</v>
      </c>
      <c r="I20" s="2">
        <v>221</v>
      </c>
      <c r="J20" s="2" t="s">
        <v>124</v>
      </c>
      <c r="K20" s="2" t="s">
        <v>125</v>
      </c>
      <c r="L20" s="2" t="s">
        <v>126</v>
      </c>
      <c r="M20" s="2" t="s">
        <v>92</v>
      </c>
      <c r="N20" s="2" t="s">
        <v>93</v>
      </c>
      <c r="R20" s="2" t="s">
        <v>126</v>
      </c>
      <c r="S20" s="2" t="s">
        <v>125</v>
      </c>
      <c r="T20" s="2" t="s">
        <v>25</v>
      </c>
      <c r="U20" s="2" t="s">
        <v>81</v>
      </c>
      <c r="V20" s="2" t="s">
        <v>127</v>
      </c>
      <c r="W20" s="2">
        <v>19252690671</v>
      </c>
    </row>
    <row r="21" spans="1:23" hidden="1" x14ac:dyDescent="0.2">
      <c r="A21" s="4">
        <v>46115</v>
      </c>
      <c r="B21" s="2" t="s">
        <v>128</v>
      </c>
      <c r="C21" s="2" t="s">
        <v>129</v>
      </c>
      <c r="D21" s="5" t="s">
        <v>25</v>
      </c>
      <c r="E21" s="5">
        <v>24.78</v>
      </c>
      <c r="F21" s="5">
        <v>15534.93</v>
      </c>
      <c r="G21" s="2" t="s">
        <v>26</v>
      </c>
      <c r="H21" s="4">
        <v>46115</v>
      </c>
      <c r="I21" s="2">
        <v>1775207364</v>
      </c>
      <c r="J21" s="2" t="s">
        <v>130</v>
      </c>
      <c r="K21" s="2" t="s">
        <v>131</v>
      </c>
      <c r="L21" s="2" t="s">
        <v>132</v>
      </c>
      <c r="M21" s="2" t="s">
        <v>30</v>
      </c>
      <c r="N21" s="2" t="s">
        <v>31</v>
      </c>
      <c r="R21" s="2" t="s">
        <v>132</v>
      </c>
      <c r="S21" s="2" t="s">
        <v>131</v>
      </c>
      <c r="T21" s="2" t="s">
        <v>25</v>
      </c>
      <c r="U21" s="2" t="s">
        <v>41</v>
      </c>
      <c r="W21" s="2">
        <v>19255437695</v>
      </c>
    </row>
    <row r="22" spans="1:23" hidden="1" x14ac:dyDescent="0.2">
      <c r="A22" s="4">
        <v>46115</v>
      </c>
      <c r="B22" s="2" t="s">
        <v>133</v>
      </c>
      <c r="C22" s="2" t="s">
        <v>34</v>
      </c>
      <c r="D22" s="5">
        <v>267.2</v>
      </c>
      <c r="E22" s="5" t="s">
        <v>25</v>
      </c>
      <c r="F22" s="5">
        <v>15267.73</v>
      </c>
      <c r="G22" s="2" t="s">
        <v>35</v>
      </c>
      <c r="H22" s="4">
        <v>46115</v>
      </c>
      <c r="I22" s="2">
        <v>1775207512</v>
      </c>
      <c r="J22" s="2" t="s">
        <v>36</v>
      </c>
      <c r="K22" s="2" t="s">
        <v>37</v>
      </c>
      <c r="L22" s="2" t="s">
        <v>38</v>
      </c>
      <c r="M22" s="2" t="s">
        <v>30</v>
      </c>
      <c r="N22" s="2" t="s">
        <v>31</v>
      </c>
      <c r="R22" s="2" t="s">
        <v>39</v>
      </c>
      <c r="S22" s="2" t="s">
        <v>40</v>
      </c>
      <c r="T22" s="2" t="s">
        <v>25</v>
      </c>
      <c r="U22" s="2" t="s">
        <v>41</v>
      </c>
      <c r="W22" s="2">
        <v>19256059575</v>
      </c>
    </row>
    <row r="23" spans="1:23" hidden="1" x14ac:dyDescent="0.2">
      <c r="A23" s="4">
        <v>46115</v>
      </c>
      <c r="B23" s="2" t="s">
        <v>134</v>
      </c>
      <c r="C23" s="2" t="s">
        <v>135</v>
      </c>
      <c r="D23" s="5" t="s">
        <v>25</v>
      </c>
      <c r="E23" s="5">
        <v>164.61</v>
      </c>
      <c r="F23" s="5">
        <v>15432.34</v>
      </c>
      <c r="G23" s="2" t="s">
        <v>26</v>
      </c>
      <c r="H23" s="4">
        <v>46115</v>
      </c>
      <c r="I23" s="2">
        <v>8870019</v>
      </c>
      <c r="J23" s="2" t="s">
        <v>136</v>
      </c>
      <c r="K23" s="2" t="s">
        <v>137</v>
      </c>
      <c r="L23" s="2" t="s">
        <v>138</v>
      </c>
      <c r="M23" s="2" t="s">
        <v>30</v>
      </c>
      <c r="N23" s="2" t="s">
        <v>31</v>
      </c>
      <c r="R23" s="2" t="s">
        <v>138</v>
      </c>
      <c r="S23" s="2" t="s">
        <v>137</v>
      </c>
      <c r="T23" s="2" t="s">
        <v>25</v>
      </c>
      <c r="U23" s="2" t="s">
        <v>41</v>
      </c>
      <c r="W23" s="2">
        <v>19258892499</v>
      </c>
    </row>
    <row r="24" spans="1:23" hidden="1" x14ac:dyDescent="0.2">
      <c r="A24" s="4">
        <v>46115</v>
      </c>
      <c r="B24" s="2" t="s">
        <v>139</v>
      </c>
      <c r="C24" s="2" t="s">
        <v>140</v>
      </c>
      <c r="D24" s="5" t="s">
        <v>25</v>
      </c>
      <c r="E24" s="5">
        <v>394.12</v>
      </c>
      <c r="F24" s="5">
        <v>15826.46</v>
      </c>
      <c r="G24" s="2" t="s">
        <v>26</v>
      </c>
      <c r="H24" s="4">
        <v>46115</v>
      </c>
      <c r="I24" s="2">
        <v>1775215590</v>
      </c>
      <c r="J24" s="2" t="s">
        <v>141</v>
      </c>
      <c r="K24" s="2" t="s">
        <v>142</v>
      </c>
      <c r="L24" s="2" t="s">
        <v>143</v>
      </c>
      <c r="M24" s="2" t="s">
        <v>30</v>
      </c>
      <c r="N24" s="2" t="s">
        <v>31</v>
      </c>
      <c r="R24" s="2" t="s">
        <v>143</v>
      </c>
      <c r="S24" s="2" t="s">
        <v>142</v>
      </c>
      <c r="T24" s="2" t="s">
        <v>25</v>
      </c>
      <c r="U24" s="2" t="s">
        <v>41</v>
      </c>
      <c r="W24" s="2">
        <v>19258910855</v>
      </c>
    </row>
    <row r="25" spans="1:23" hidden="1" x14ac:dyDescent="0.2">
      <c r="A25" s="4">
        <v>46115</v>
      </c>
      <c r="B25" s="2" t="s">
        <v>144</v>
      </c>
      <c r="C25" s="2" t="s">
        <v>145</v>
      </c>
      <c r="D25" s="5" t="s">
        <v>25</v>
      </c>
      <c r="E25" s="5">
        <v>521.55999999999995</v>
      </c>
      <c r="F25" s="5">
        <v>16348.02</v>
      </c>
      <c r="G25" s="2" t="s">
        <v>26</v>
      </c>
      <c r="H25" s="4">
        <v>46115</v>
      </c>
      <c r="I25" s="2">
        <v>1775215829</v>
      </c>
      <c r="J25" s="2" t="s">
        <v>146</v>
      </c>
      <c r="K25" s="2" t="s">
        <v>147</v>
      </c>
      <c r="L25" s="2" t="s">
        <v>148</v>
      </c>
      <c r="M25" s="2" t="s">
        <v>30</v>
      </c>
      <c r="N25" s="2" t="s">
        <v>31</v>
      </c>
      <c r="R25" s="2" t="s">
        <v>148</v>
      </c>
      <c r="S25" s="2" t="s">
        <v>147</v>
      </c>
      <c r="T25" s="2" t="s">
        <v>25</v>
      </c>
      <c r="U25" s="2" t="s">
        <v>41</v>
      </c>
      <c r="W25" s="2">
        <v>19259015015</v>
      </c>
    </row>
    <row r="26" spans="1:23" hidden="1" x14ac:dyDescent="0.2">
      <c r="A26" s="4">
        <v>46115</v>
      </c>
      <c r="B26" s="2" t="s">
        <v>149</v>
      </c>
      <c r="C26" s="2" t="s">
        <v>150</v>
      </c>
      <c r="D26" s="5" t="s">
        <v>25</v>
      </c>
      <c r="E26" s="5">
        <v>40</v>
      </c>
      <c r="F26" s="5">
        <v>16388.02</v>
      </c>
      <c r="G26" s="2" t="s">
        <v>26</v>
      </c>
      <c r="H26" s="4">
        <v>46115</v>
      </c>
      <c r="I26" s="2">
        <v>1775227064</v>
      </c>
      <c r="J26" s="2" t="s">
        <v>151</v>
      </c>
      <c r="K26" s="2" t="s">
        <v>152</v>
      </c>
      <c r="L26" s="2" t="s">
        <v>153</v>
      </c>
      <c r="M26" s="2" t="s">
        <v>30</v>
      </c>
      <c r="N26" s="2" t="s">
        <v>31</v>
      </c>
      <c r="R26" s="2" t="s">
        <v>153</v>
      </c>
      <c r="S26" s="2" t="s">
        <v>152</v>
      </c>
      <c r="T26" s="2" t="s">
        <v>25</v>
      </c>
      <c r="U26" s="2" t="s">
        <v>32</v>
      </c>
      <c r="W26" s="2">
        <v>19262188405</v>
      </c>
    </row>
    <row r="27" spans="1:23" hidden="1" x14ac:dyDescent="0.2">
      <c r="A27" s="4">
        <v>46115</v>
      </c>
      <c r="B27" s="2" t="s">
        <v>154</v>
      </c>
      <c r="C27" s="2" t="s">
        <v>65</v>
      </c>
      <c r="D27" s="5" t="s">
        <v>25</v>
      </c>
      <c r="E27" s="5">
        <v>149</v>
      </c>
      <c r="F27" s="5">
        <v>16537.02</v>
      </c>
      <c r="G27" s="2" t="s">
        <v>26</v>
      </c>
      <c r="H27" s="4">
        <v>46115</v>
      </c>
      <c r="I27" s="2">
        <v>1775241585</v>
      </c>
      <c r="J27" s="2" t="s">
        <v>66</v>
      </c>
      <c r="K27" s="2" t="s">
        <v>67</v>
      </c>
      <c r="L27" s="2" t="s">
        <v>68</v>
      </c>
      <c r="M27" s="2" t="s">
        <v>30</v>
      </c>
      <c r="N27" s="2" t="s">
        <v>31</v>
      </c>
      <c r="R27" s="2" t="s">
        <v>68</v>
      </c>
      <c r="S27" s="2" t="s">
        <v>67</v>
      </c>
      <c r="T27" s="2" t="s">
        <v>25</v>
      </c>
      <c r="U27" s="2" t="s">
        <v>32</v>
      </c>
      <c r="W27" s="2">
        <v>19263839607</v>
      </c>
    </row>
    <row r="28" spans="1:23" hidden="1" x14ac:dyDescent="0.2">
      <c r="A28" s="4">
        <v>46115</v>
      </c>
      <c r="B28" s="2" t="s">
        <v>155</v>
      </c>
      <c r="C28" s="2" t="s">
        <v>70</v>
      </c>
      <c r="D28" s="5" t="s">
        <v>25</v>
      </c>
      <c r="E28" s="5">
        <v>64</v>
      </c>
      <c r="F28" s="5">
        <v>16601.02</v>
      </c>
      <c r="G28" s="2" t="s">
        <v>26</v>
      </c>
      <c r="H28" s="4">
        <v>46115</v>
      </c>
      <c r="I28" s="2">
        <v>1775245795</v>
      </c>
      <c r="J28" s="2" t="s">
        <v>71</v>
      </c>
      <c r="K28" s="2" t="s">
        <v>72</v>
      </c>
      <c r="L28" s="2" t="s">
        <v>73</v>
      </c>
      <c r="M28" s="2" t="s">
        <v>30</v>
      </c>
      <c r="N28" s="2" t="s">
        <v>31</v>
      </c>
      <c r="R28" s="2" t="s">
        <v>73</v>
      </c>
      <c r="S28" s="2" t="s">
        <v>72</v>
      </c>
      <c r="T28" s="2" t="s">
        <v>25</v>
      </c>
      <c r="U28" s="2" t="s">
        <v>32</v>
      </c>
      <c r="W28" s="2">
        <v>19264068184</v>
      </c>
    </row>
    <row r="29" spans="1:23" hidden="1" x14ac:dyDescent="0.2">
      <c r="A29" s="4">
        <v>46116</v>
      </c>
      <c r="B29" s="2" t="s">
        <v>156</v>
      </c>
      <c r="C29" s="2" t="s">
        <v>65</v>
      </c>
      <c r="D29" s="5" t="s">
        <v>25</v>
      </c>
      <c r="E29" s="5">
        <v>85</v>
      </c>
      <c r="F29" s="5">
        <v>16686.02</v>
      </c>
      <c r="G29" s="2" t="s">
        <v>26</v>
      </c>
      <c r="H29" s="4">
        <v>46116</v>
      </c>
      <c r="I29" s="2">
        <v>1775284062</v>
      </c>
      <c r="J29" s="2" t="s">
        <v>66</v>
      </c>
      <c r="K29" s="2" t="s">
        <v>67</v>
      </c>
      <c r="L29" s="2" t="s">
        <v>68</v>
      </c>
      <c r="M29" s="2" t="s">
        <v>30</v>
      </c>
      <c r="N29" s="2" t="s">
        <v>31</v>
      </c>
      <c r="R29" s="2" t="s">
        <v>68</v>
      </c>
      <c r="S29" s="2" t="s">
        <v>67</v>
      </c>
      <c r="T29" s="2" t="s">
        <v>25</v>
      </c>
      <c r="U29" s="2" t="s">
        <v>32</v>
      </c>
      <c r="W29" s="2">
        <v>19265462321</v>
      </c>
    </row>
    <row r="30" spans="1:23" hidden="1" x14ac:dyDescent="0.2">
      <c r="A30" s="4">
        <v>46116</v>
      </c>
      <c r="B30" s="2" t="s">
        <v>42</v>
      </c>
      <c r="C30" s="2" t="s">
        <v>43</v>
      </c>
      <c r="D30" s="5" t="s">
        <v>25</v>
      </c>
      <c r="E30" s="5">
        <v>64</v>
      </c>
      <c r="F30" s="5">
        <v>16750.02</v>
      </c>
      <c r="G30" s="2" t="s">
        <v>26</v>
      </c>
      <c r="H30" s="4">
        <v>46116</v>
      </c>
      <c r="I30" s="2">
        <v>1775325771</v>
      </c>
      <c r="J30" s="2" t="s">
        <v>44</v>
      </c>
      <c r="K30" s="2" t="s">
        <v>45</v>
      </c>
      <c r="L30" s="2" t="s">
        <v>46</v>
      </c>
      <c r="M30" s="2" t="s">
        <v>30</v>
      </c>
      <c r="N30" s="2" t="s">
        <v>31</v>
      </c>
      <c r="R30" s="2" t="s">
        <v>46</v>
      </c>
      <c r="S30" s="2" t="s">
        <v>45</v>
      </c>
      <c r="T30" s="2" t="s">
        <v>25</v>
      </c>
      <c r="U30" s="2" t="s">
        <v>32</v>
      </c>
      <c r="W30" s="2">
        <v>19275006355</v>
      </c>
    </row>
    <row r="31" spans="1:23" hidden="1" x14ac:dyDescent="0.2">
      <c r="A31" s="4">
        <v>46118</v>
      </c>
      <c r="B31" s="2" t="s">
        <v>157</v>
      </c>
      <c r="C31" s="2" t="s">
        <v>158</v>
      </c>
      <c r="D31" s="5" t="s">
        <v>25</v>
      </c>
      <c r="E31" s="5">
        <v>1274.4000000000001</v>
      </c>
      <c r="F31" s="5">
        <v>18024.419999999998</v>
      </c>
      <c r="G31" s="2" t="s">
        <v>26</v>
      </c>
      <c r="H31" s="4">
        <v>46118</v>
      </c>
      <c r="I31" s="2">
        <v>1775457458</v>
      </c>
      <c r="J31" s="2" t="s">
        <v>159</v>
      </c>
      <c r="K31" s="2" t="s">
        <v>160</v>
      </c>
      <c r="L31" s="2" t="s">
        <v>161</v>
      </c>
      <c r="M31" s="2" t="s">
        <v>30</v>
      </c>
      <c r="N31" s="2" t="s">
        <v>31</v>
      </c>
      <c r="R31" s="2" t="s">
        <v>161</v>
      </c>
      <c r="S31" s="2" t="s">
        <v>160</v>
      </c>
      <c r="T31" s="2" t="s">
        <v>25</v>
      </c>
      <c r="U31" s="2" t="s">
        <v>32</v>
      </c>
      <c r="W31" s="2">
        <v>19286517728</v>
      </c>
    </row>
    <row r="32" spans="1:23" hidden="1" x14ac:dyDescent="0.2">
      <c r="A32" s="4">
        <v>46118</v>
      </c>
      <c r="B32" s="2" t="s">
        <v>162</v>
      </c>
      <c r="C32" s="2" t="s">
        <v>163</v>
      </c>
      <c r="D32" s="5" t="s">
        <v>25</v>
      </c>
      <c r="E32" s="5">
        <v>550.52</v>
      </c>
      <c r="F32" s="5">
        <v>18574.939999999999</v>
      </c>
      <c r="G32" s="2" t="s">
        <v>26</v>
      </c>
      <c r="H32" s="4">
        <v>46118</v>
      </c>
      <c r="I32" s="2">
        <v>1775461460</v>
      </c>
      <c r="J32" s="2" t="s">
        <v>84</v>
      </c>
      <c r="K32" s="2" t="s">
        <v>164</v>
      </c>
      <c r="L32" s="2" t="s">
        <v>86</v>
      </c>
      <c r="M32" s="2" t="s">
        <v>30</v>
      </c>
      <c r="N32" s="2" t="s">
        <v>31</v>
      </c>
      <c r="R32" s="2" t="s">
        <v>86</v>
      </c>
      <c r="S32" s="2" t="s">
        <v>164</v>
      </c>
      <c r="T32" s="2" t="s">
        <v>25</v>
      </c>
      <c r="U32" s="2" t="s">
        <v>41</v>
      </c>
      <c r="W32" s="2">
        <v>19287378206</v>
      </c>
    </row>
    <row r="33" spans="1:23" hidden="1" x14ac:dyDescent="0.2">
      <c r="A33" s="4">
        <v>46118</v>
      </c>
      <c r="B33" s="2" t="s">
        <v>165</v>
      </c>
      <c r="C33" s="2" t="s">
        <v>166</v>
      </c>
      <c r="D33" s="5" t="s">
        <v>25</v>
      </c>
      <c r="E33" s="5">
        <v>254.88</v>
      </c>
      <c r="F33" s="5">
        <v>18829.82</v>
      </c>
      <c r="G33" s="2" t="s">
        <v>26</v>
      </c>
      <c r="H33" s="4">
        <v>46118</v>
      </c>
      <c r="I33" s="2">
        <v>1775466056</v>
      </c>
      <c r="J33" s="2" t="s">
        <v>167</v>
      </c>
      <c r="K33" s="2" t="s">
        <v>168</v>
      </c>
      <c r="L33" s="2" t="s">
        <v>169</v>
      </c>
      <c r="M33" s="2" t="s">
        <v>30</v>
      </c>
      <c r="N33" s="2" t="s">
        <v>31</v>
      </c>
      <c r="R33" s="2" t="s">
        <v>169</v>
      </c>
      <c r="S33" s="2" t="s">
        <v>168</v>
      </c>
      <c r="T33" s="2" t="s">
        <v>25</v>
      </c>
      <c r="U33" s="2" t="s">
        <v>41</v>
      </c>
      <c r="W33" s="2">
        <v>19288918676</v>
      </c>
    </row>
    <row r="34" spans="1:23" hidden="1" x14ac:dyDescent="0.2">
      <c r="A34" s="4">
        <v>46118</v>
      </c>
      <c r="B34" s="2" t="s">
        <v>165</v>
      </c>
      <c r="C34" s="2" t="s">
        <v>170</v>
      </c>
      <c r="D34" s="5" t="s">
        <v>25</v>
      </c>
      <c r="E34" s="5">
        <v>107.38</v>
      </c>
      <c r="F34" s="5">
        <v>18937.2</v>
      </c>
      <c r="G34" s="2" t="s">
        <v>26</v>
      </c>
      <c r="H34" s="4">
        <v>46118</v>
      </c>
      <c r="I34" s="2">
        <v>1775466173</v>
      </c>
      <c r="J34" s="2" t="s">
        <v>171</v>
      </c>
      <c r="K34" s="2" t="s">
        <v>172</v>
      </c>
      <c r="L34" s="2" t="s">
        <v>173</v>
      </c>
      <c r="M34" s="2" t="s">
        <v>30</v>
      </c>
      <c r="N34" s="2" t="s">
        <v>31</v>
      </c>
      <c r="R34" s="2" t="s">
        <v>173</v>
      </c>
      <c r="S34" s="2" t="s">
        <v>172</v>
      </c>
      <c r="T34" s="2" t="s">
        <v>25</v>
      </c>
      <c r="U34" s="2" t="s">
        <v>32</v>
      </c>
      <c r="W34" s="2">
        <v>19288942686</v>
      </c>
    </row>
    <row r="35" spans="1:23" hidden="1" x14ac:dyDescent="0.2">
      <c r="A35" s="4">
        <v>46118</v>
      </c>
      <c r="B35" s="2" t="s">
        <v>174</v>
      </c>
      <c r="C35" s="2" t="s">
        <v>175</v>
      </c>
      <c r="D35" s="5" t="s">
        <v>25</v>
      </c>
      <c r="E35" s="5">
        <v>64.900000000000006</v>
      </c>
      <c r="F35" s="5">
        <v>19002.099999999999</v>
      </c>
      <c r="G35" s="2" t="s">
        <v>26</v>
      </c>
      <c r="H35" s="4">
        <v>46118</v>
      </c>
      <c r="I35" s="2">
        <v>1775467295</v>
      </c>
      <c r="J35" s="2" t="s">
        <v>176</v>
      </c>
      <c r="K35" s="2" t="s">
        <v>177</v>
      </c>
      <c r="L35" s="2" t="s">
        <v>178</v>
      </c>
      <c r="M35" s="2" t="s">
        <v>30</v>
      </c>
      <c r="N35" s="2" t="s">
        <v>31</v>
      </c>
      <c r="R35" s="2" t="s">
        <v>178</v>
      </c>
      <c r="S35" s="2" t="s">
        <v>177</v>
      </c>
      <c r="T35" s="2" t="s">
        <v>25</v>
      </c>
      <c r="U35" s="2" t="s">
        <v>32</v>
      </c>
      <c r="W35" s="2">
        <v>19289416012</v>
      </c>
    </row>
    <row r="36" spans="1:23" hidden="1" x14ac:dyDescent="0.2">
      <c r="A36" s="4">
        <v>46118</v>
      </c>
      <c r="B36" s="2" t="s">
        <v>42</v>
      </c>
      <c r="C36" s="2" t="s">
        <v>179</v>
      </c>
      <c r="D36" s="5">
        <v>1352</v>
      </c>
      <c r="E36" s="5" t="s">
        <v>25</v>
      </c>
      <c r="F36" s="5">
        <v>17650.099999999999</v>
      </c>
      <c r="G36" s="2" t="s">
        <v>35</v>
      </c>
      <c r="H36" s="4">
        <v>46118</v>
      </c>
      <c r="I36" s="2">
        <v>1775470969</v>
      </c>
      <c r="J36" s="2" t="s">
        <v>180</v>
      </c>
      <c r="K36" s="2" t="s">
        <v>181</v>
      </c>
      <c r="L36" s="2" t="s">
        <v>153</v>
      </c>
      <c r="M36" s="2" t="s">
        <v>30</v>
      </c>
      <c r="N36" s="2" t="s">
        <v>31</v>
      </c>
      <c r="R36" s="2" t="s">
        <v>39</v>
      </c>
      <c r="S36" s="2" t="s">
        <v>40</v>
      </c>
      <c r="T36" s="2" t="s">
        <v>25</v>
      </c>
      <c r="U36" s="2" t="s">
        <v>41</v>
      </c>
      <c r="W36" s="2">
        <v>19291274650</v>
      </c>
    </row>
    <row r="37" spans="1:23" hidden="1" x14ac:dyDescent="0.2">
      <c r="A37" s="4">
        <v>46118</v>
      </c>
      <c r="B37" s="2" t="s">
        <v>42</v>
      </c>
      <c r="C37" s="2" t="s">
        <v>182</v>
      </c>
      <c r="D37" s="5">
        <v>1055</v>
      </c>
      <c r="E37" s="5" t="s">
        <v>25</v>
      </c>
      <c r="F37" s="5">
        <v>16595.099999999999</v>
      </c>
      <c r="G37" s="2" t="s">
        <v>35</v>
      </c>
      <c r="H37" s="4">
        <v>46118</v>
      </c>
      <c r="I37" s="2">
        <v>1775471031</v>
      </c>
      <c r="J37" s="2" t="s">
        <v>183</v>
      </c>
      <c r="K37" s="2" t="s">
        <v>184</v>
      </c>
      <c r="L37" s="2" t="s">
        <v>25</v>
      </c>
      <c r="M37" s="2" t="s">
        <v>92</v>
      </c>
      <c r="N37" s="2" t="s">
        <v>93</v>
      </c>
      <c r="R37" s="2" t="s">
        <v>39</v>
      </c>
      <c r="S37" s="2" t="s">
        <v>40</v>
      </c>
      <c r="T37" s="2" t="s">
        <v>25</v>
      </c>
      <c r="U37" s="2" t="s">
        <v>185</v>
      </c>
      <c r="W37" s="2">
        <v>19291274732</v>
      </c>
    </row>
    <row r="38" spans="1:23" hidden="1" x14ac:dyDescent="0.2">
      <c r="A38" s="4">
        <v>46118</v>
      </c>
      <c r="B38" s="2" t="s">
        <v>186</v>
      </c>
      <c r="C38" s="2" t="s">
        <v>187</v>
      </c>
      <c r="D38" s="5">
        <v>5</v>
      </c>
      <c r="E38" s="5" t="s">
        <v>25</v>
      </c>
      <c r="F38" s="5">
        <v>16590.099999999999</v>
      </c>
      <c r="G38" s="2" t="s">
        <v>49</v>
      </c>
      <c r="H38" s="4">
        <v>46118</v>
      </c>
      <c r="I38" s="2">
        <v>1775471031</v>
      </c>
      <c r="J38" s="2" t="s">
        <v>188</v>
      </c>
      <c r="K38" s="2" t="s">
        <v>189</v>
      </c>
      <c r="L38" s="2" t="s">
        <v>25</v>
      </c>
      <c r="M38" s="2" t="s">
        <v>30</v>
      </c>
      <c r="N38" s="2" t="s">
        <v>52</v>
      </c>
      <c r="T38" s="2" t="s">
        <v>25</v>
      </c>
      <c r="U38" s="2" t="s">
        <v>185</v>
      </c>
      <c r="W38" s="2">
        <v>19291274733</v>
      </c>
    </row>
    <row r="39" spans="1:23" hidden="1" x14ac:dyDescent="0.2">
      <c r="A39" s="4">
        <v>46118</v>
      </c>
      <c r="B39" s="2" t="s">
        <v>42</v>
      </c>
      <c r="C39" s="2" t="s">
        <v>190</v>
      </c>
      <c r="D39" s="5">
        <v>1090</v>
      </c>
      <c r="E39" s="5" t="s">
        <v>25</v>
      </c>
      <c r="F39" s="5">
        <v>15500.1</v>
      </c>
      <c r="G39" s="2" t="s">
        <v>35</v>
      </c>
      <c r="H39" s="4">
        <v>46118</v>
      </c>
      <c r="I39" s="2">
        <v>1775471057</v>
      </c>
      <c r="J39" s="2" t="s">
        <v>44</v>
      </c>
      <c r="K39" s="2" t="s">
        <v>191</v>
      </c>
      <c r="L39" s="2" t="s">
        <v>46</v>
      </c>
      <c r="M39" s="2" t="s">
        <v>30</v>
      </c>
      <c r="N39" s="2" t="s">
        <v>31</v>
      </c>
      <c r="R39" s="2" t="s">
        <v>39</v>
      </c>
      <c r="S39" s="2" t="s">
        <v>40</v>
      </c>
      <c r="T39" s="2" t="s">
        <v>25</v>
      </c>
      <c r="U39" s="2" t="s">
        <v>41</v>
      </c>
      <c r="W39" s="2">
        <v>19291274744</v>
      </c>
    </row>
    <row r="40" spans="1:23" hidden="1" x14ac:dyDescent="0.2">
      <c r="A40" s="4">
        <v>46118</v>
      </c>
      <c r="B40" s="2" t="s">
        <v>42</v>
      </c>
      <c r="C40" s="2" t="s">
        <v>192</v>
      </c>
      <c r="D40" s="5">
        <v>890</v>
      </c>
      <c r="E40" s="5" t="s">
        <v>25</v>
      </c>
      <c r="F40" s="5">
        <v>14610.1</v>
      </c>
      <c r="G40" s="2" t="s">
        <v>35</v>
      </c>
      <c r="H40" s="4">
        <v>46118</v>
      </c>
      <c r="I40" s="2">
        <v>1775471092</v>
      </c>
      <c r="J40" s="2" t="s">
        <v>193</v>
      </c>
      <c r="K40" s="2" t="s">
        <v>194</v>
      </c>
      <c r="L40" s="2" t="s">
        <v>25</v>
      </c>
      <c r="M40" s="2" t="s">
        <v>92</v>
      </c>
      <c r="N40" s="2" t="s">
        <v>93</v>
      </c>
      <c r="R40" s="2" t="s">
        <v>39</v>
      </c>
      <c r="S40" s="2" t="s">
        <v>40</v>
      </c>
      <c r="T40" s="2" t="s">
        <v>25</v>
      </c>
      <c r="U40" s="2" t="s">
        <v>185</v>
      </c>
      <c r="W40" s="2">
        <v>19291274748</v>
      </c>
    </row>
    <row r="41" spans="1:23" hidden="1" x14ac:dyDescent="0.2">
      <c r="A41" s="4">
        <v>46118</v>
      </c>
      <c r="B41" s="2" t="s">
        <v>186</v>
      </c>
      <c r="C41" s="2" t="s">
        <v>187</v>
      </c>
      <c r="D41" s="5">
        <v>1</v>
      </c>
      <c r="E41" s="5" t="s">
        <v>25</v>
      </c>
      <c r="F41" s="5">
        <v>14609.1</v>
      </c>
      <c r="G41" s="2" t="s">
        <v>49</v>
      </c>
      <c r="H41" s="4">
        <v>46118</v>
      </c>
      <c r="I41" s="2">
        <v>1775471092</v>
      </c>
      <c r="J41" s="2" t="s">
        <v>188</v>
      </c>
      <c r="K41" s="2" t="s">
        <v>189</v>
      </c>
      <c r="L41" s="2" t="s">
        <v>25</v>
      </c>
      <c r="M41" s="2" t="s">
        <v>30</v>
      </c>
      <c r="N41" s="2" t="s">
        <v>52</v>
      </c>
      <c r="T41" s="2" t="s">
        <v>25</v>
      </c>
      <c r="U41" s="2" t="s">
        <v>185</v>
      </c>
      <c r="W41" s="2">
        <v>19291274749</v>
      </c>
    </row>
    <row r="42" spans="1:23" hidden="1" x14ac:dyDescent="0.2">
      <c r="A42" s="4">
        <v>46118</v>
      </c>
      <c r="B42" s="2" t="s">
        <v>42</v>
      </c>
      <c r="C42" s="2" t="s">
        <v>195</v>
      </c>
      <c r="D42" s="5">
        <v>728</v>
      </c>
      <c r="E42" s="5" t="s">
        <v>25</v>
      </c>
      <c r="F42" s="5">
        <v>13881.1</v>
      </c>
      <c r="G42" s="2" t="s">
        <v>35</v>
      </c>
      <c r="H42" s="4">
        <v>46118</v>
      </c>
      <c r="I42" s="2">
        <v>1775471116</v>
      </c>
      <c r="J42" s="2" t="s">
        <v>196</v>
      </c>
      <c r="K42" s="2" t="s">
        <v>197</v>
      </c>
      <c r="L42" s="2" t="s">
        <v>198</v>
      </c>
      <c r="M42" s="2" t="s">
        <v>30</v>
      </c>
      <c r="N42" s="2" t="s">
        <v>31</v>
      </c>
      <c r="R42" s="2" t="s">
        <v>39</v>
      </c>
      <c r="S42" s="2" t="s">
        <v>40</v>
      </c>
      <c r="T42" s="2" t="s">
        <v>25</v>
      </c>
      <c r="U42" s="2" t="s">
        <v>41</v>
      </c>
      <c r="W42" s="2">
        <v>19291274756</v>
      </c>
    </row>
    <row r="43" spans="1:23" hidden="1" x14ac:dyDescent="0.2">
      <c r="A43" s="4">
        <v>46118</v>
      </c>
      <c r="B43" s="2" t="s">
        <v>199</v>
      </c>
      <c r="C43" s="2" t="s">
        <v>200</v>
      </c>
      <c r="D43" s="5">
        <v>516.20000000000005</v>
      </c>
      <c r="E43" s="5" t="s">
        <v>25</v>
      </c>
      <c r="F43" s="5">
        <v>13364.9</v>
      </c>
      <c r="G43" s="2" t="s">
        <v>35</v>
      </c>
      <c r="H43" s="4">
        <v>46118</v>
      </c>
      <c r="I43" s="2">
        <v>1775471180</v>
      </c>
      <c r="J43" s="2" t="s">
        <v>201</v>
      </c>
      <c r="K43" s="2" t="s">
        <v>202</v>
      </c>
      <c r="L43" s="2" t="s">
        <v>203</v>
      </c>
      <c r="M43" s="2" t="s">
        <v>30</v>
      </c>
      <c r="N43" s="2" t="s">
        <v>31</v>
      </c>
      <c r="R43" s="2" t="s">
        <v>39</v>
      </c>
      <c r="S43" s="2" t="s">
        <v>40</v>
      </c>
      <c r="T43" s="2" t="s">
        <v>25</v>
      </c>
      <c r="U43" s="2" t="s">
        <v>41</v>
      </c>
      <c r="W43" s="2">
        <v>19291274816</v>
      </c>
    </row>
    <row r="44" spans="1:23" hidden="1" x14ac:dyDescent="0.2">
      <c r="A44" s="4">
        <v>46118</v>
      </c>
      <c r="B44" s="2" t="s">
        <v>204</v>
      </c>
      <c r="C44" s="2" t="s">
        <v>205</v>
      </c>
      <c r="D44" s="5">
        <v>800</v>
      </c>
      <c r="E44" s="5" t="s">
        <v>25</v>
      </c>
      <c r="F44" s="5">
        <v>12564.9</v>
      </c>
      <c r="G44" s="2" t="s">
        <v>35</v>
      </c>
      <c r="H44" s="4">
        <v>46118</v>
      </c>
      <c r="I44" s="2">
        <v>1775471225</v>
      </c>
      <c r="J44" s="2" t="s">
        <v>206</v>
      </c>
      <c r="K44" s="2" t="s">
        <v>207</v>
      </c>
      <c r="L44" s="2" t="s">
        <v>208</v>
      </c>
      <c r="M44" s="2" t="s">
        <v>30</v>
      </c>
      <c r="N44" s="2" t="s">
        <v>31</v>
      </c>
      <c r="R44" s="2" t="s">
        <v>39</v>
      </c>
      <c r="S44" s="2" t="s">
        <v>40</v>
      </c>
      <c r="T44" s="2" t="s">
        <v>25</v>
      </c>
      <c r="U44" s="2" t="s">
        <v>41</v>
      </c>
      <c r="W44" s="2">
        <v>19291274834</v>
      </c>
    </row>
    <row r="45" spans="1:23" hidden="1" x14ac:dyDescent="0.2">
      <c r="A45" s="4">
        <v>46118</v>
      </c>
      <c r="B45" s="2" t="s">
        <v>209</v>
      </c>
      <c r="C45" s="2" t="s">
        <v>210</v>
      </c>
      <c r="D45" s="5">
        <v>55</v>
      </c>
      <c r="E45" s="5" t="s">
        <v>25</v>
      </c>
      <c r="F45" s="5">
        <v>12509.9</v>
      </c>
      <c r="G45" s="2" t="s">
        <v>35</v>
      </c>
      <c r="H45" s="4">
        <v>46118</v>
      </c>
      <c r="I45" s="2">
        <v>1775471268</v>
      </c>
      <c r="J45" s="2" t="s">
        <v>211</v>
      </c>
      <c r="K45" s="2" t="s">
        <v>212</v>
      </c>
      <c r="L45" s="2" t="s">
        <v>213</v>
      </c>
      <c r="M45" s="2" t="s">
        <v>30</v>
      </c>
      <c r="N45" s="2" t="s">
        <v>31</v>
      </c>
      <c r="R45" s="2" t="s">
        <v>39</v>
      </c>
      <c r="S45" s="2" t="s">
        <v>40</v>
      </c>
      <c r="T45" s="2" t="s">
        <v>25</v>
      </c>
      <c r="U45" s="2" t="s">
        <v>41</v>
      </c>
      <c r="W45" s="2">
        <v>19291275072</v>
      </c>
    </row>
    <row r="46" spans="1:23" hidden="1" x14ac:dyDescent="0.2">
      <c r="A46" s="4">
        <v>46118</v>
      </c>
      <c r="B46" s="2" t="s">
        <v>214</v>
      </c>
      <c r="C46" s="2" t="s">
        <v>215</v>
      </c>
      <c r="D46" s="5" t="s">
        <v>25</v>
      </c>
      <c r="E46" s="5">
        <v>406.51</v>
      </c>
      <c r="F46" s="5">
        <v>12916.41</v>
      </c>
      <c r="G46" s="2" t="s">
        <v>26</v>
      </c>
      <c r="H46" s="4">
        <v>46118</v>
      </c>
      <c r="I46" s="2">
        <v>61</v>
      </c>
      <c r="J46" s="2" t="s">
        <v>216</v>
      </c>
      <c r="K46" s="2" t="s">
        <v>217</v>
      </c>
      <c r="L46" s="2" t="s">
        <v>218</v>
      </c>
      <c r="M46" s="2" t="s">
        <v>92</v>
      </c>
      <c r="N46" s="2" t="s">
        <v>93</v>
      </c>
      <c r="R46" s="2" t="s">
        <v>218</v>
      </c>
      <c r="S46" s="2" t="s">
        <v>217</v>
      </c>
      <c r="T46" s="2" t="s">
        <v>25</v>
      </c>
      <c r="U46" s="2" t="s">
        <v>81</v>
      </c>
      <c r="V46" s="2" t="s">
        <v>219</v>
      </c>
      <c r="W46" s="2">
        <v>19291353376</v>
      </c>
    </row>
    <row r="47" spans="1:23" hidden="1" x14ac:dyDescent="0.2">
      <c r="A47" s="4">
        <v>46118</v>
      </c>
      <c r="B47" s="2" t="s">
        <v>220</v>
      </c>
      <c r="C47" s="2" t="s">
        <v>221</v>
      </c>
      <c r="D47" s="5" t="s">
        <v>25</v>
      </c>
      <c r="E47" s="5">
        <v>210.63</v>
      </c>
      <c r="F47" s="5">
        <v>13127.04</v>
      </c>
      <c r="G47" s="2" t="s">
        <v>26</v>
      </c>
      <c r="H47" s="4">
        <v>46118</v>
      </c>
      <c r="I47" s="2">
        <v>1775472172</v>
      </c>
      <c r="J47" s="2" t="s">
        <v>222</v>
      </c>
      <c r="K47" s="2" t="s">
        <v>223</v>
      </c>
      <c r="L47" s="2" t="s">
        <v>224</v>
      </c>
      <c r="M47" s="2" t="s">
        <v>30</v>
      </c>
      <c r="N47" s="2" t="s">
        <v>31</v>
      </c>
      <c r="R47" s="2" t="s">
        <v>224</v>
      </c>
      <c r="S47" s="2" t="s">
        <v>223</v>
      </c>
      <c r="T47" s="2" t="s">
        <v>25</v>
      </c>
      <c r="U47" s="2" t="s">
        <v>41</v>
      </c>
      <c r="W47" s="2">
        <v>19291391172</v>
      </c>
    </row>
    <row r="48" spans="1:23" hidden="1" x14ac:dyDescent="0.2">
      <c r="A48" s="4">
        <v>46118</v>
      </c>
      <c r="B48" s="2" t="s">
        <v>59</v>
      </c>
      <c r="C48" s="2" t="s">
        <v>225</v>
      </c>
      <c r="D48" s="5" t="s">
        <v>25</v>
      </c>
      <c r="E48" s="5">
        <v>2247.4</v>
      </c>
      <c r="F48" s="5">
        <v>15374.44</v>
      </c>
      <c r="G48" s="2" t="s">
        <v>26</v>
      </c>
      <c r="H48" s="4">
        <v>46118</v>
      </c>
      <c r="I48" s="2">
        <v>1775474959</v>
      </c>
      <c r="J48" s="2" t="s">
        <v>226</v>
      </c>
      <c r="K48" s="2" t="s">
        <v>227</v>
      </c>
      <c r="L48" s="2" t="s">
        <v>228</v>
      </c>
      <c r="M48" s="2" t="s">
        <v>30</v>
      </c>
      <c r="N48" s="2" t="s">
        <v>31</v>
      </c>
      <c r="R48" s="2" t="s">
        <v>228</v>
      </c>
      <c r="S48" s="2" t="s">
        <v>227</v>
      </c>
      <c r="T48" s="2" t="s">
        <v>25</v>
      </c>
      <c r="U48" s="2" t="s">
        <v>41</v>
      </c>
      <c r="V48" s="2" t="s">
        <v>229</v>
      </c>
      <c r="W48" s="2">
        <v>19292651890</v>
      </c>
    </row>
    <row r="49" spans="1:23" hidden="1" x14ac:dyDescent="0.2">
      <c r="A49" s="4">
        <v>46118</v>
      </c>
      <c r="B49" s="2" t="s">
        <v>23</v>
      </c>
      <c r="C49" s="2" t="s">
        <v>24</v>
      </c>
      <c r="D49" s="5" t="s">
        <v>25</v>
      </c>
      <c r="E49" s="5">
        <v>100</v>
      </c>
      <c r="F49" s="5">
        <v>15474.44</v>
      </c>
      <c r="G49" s="2" t="s">
        <v>26</v>
      </c>
      <c r="H49" s="4">
        <v>46118</v>
      </c>
      <c r="I49" s="2">
        <v>1775503237</v>
      </c>
      <c r="J49" s="2" t="s">
        <v>27</v>
      </c>
      <c r="K49" s="2" t="s">
        <v>28</v>
      </c>
      <c r="L49" s="2" t="s">
        <v>29</v>
      </c>
      <c r="M49" s="2" t="s">
        <v>30</v>
      </c>
      <c r="N49" s="2" t="s">
        <v>31</v>
      </c>
      <c r="R49" s="2" t="s">
        <v>29</v>
      </c>
      <c r="S49" s="2" t="s">
        <v>28</v>
      </c>
      <c r="T49" s="2" t="s">
        <v>25</v>
      </c>
      <c r="U49" s="2" t="s">
        <v>32</v>
      </c>
      <c r="W49" s="2">
        <v>19296640620</v>
      </c>
    </row>
    <row r="50" spans="1:23" hidden="1" x14ac:dyDescent="0.2">
      <c r="A50" s="4">
        <v>46118</v>
      </c>
      <c r="B50" s="2" t="s">
        <v>230</v>
      </c>
      <c r="C50" s="2" t="s">
        <v>231</v>
      </c>
      <c r="D50" s="5" t="s">
        <v>25</v>
      </c>
      <c r="E50" s="5">
        <v>100</v>
      </c>
      <c r="F50" s="5">
        <v>15574.44</v>
      </c>
      <c r="G50" s="2" t="s">
        <v>26</v>
      </c>
      <c r="H50" s="4">
        <v>46118</v>
      </c>
      <c r="I50" s="2">
        <v>1775503392</v>
      </c>
      <c r="J50" s="2" t="s">
        <v>196</v>
      </c>
      <c r="K50" s="2" t="s">
        <v>232</v>
      </c>
      <c r="L50" s="2" t="s">
        <v>198</v>
      </c>
      <c r="M50" s="2" t="s">
        <v>30</v>
      </c>
      <c r="N50" s="2" t="s">
        <v>31</v>
      </c>
      <c r="R50" s="2" t="s">
        <v>198</v>
      </c>
      <c r="S50" s="2" t="s">
        <v>232</v>
      </c>
      <c r="T50" s="2" t="s">
        <v>25</v>
      </c>
      <c r="U50" s="2" t="s">
        <v>32</v>
      </c>
      <c r="W50" s="2">
        <v>19296643600</v>
      </c>
    </row>
    <row r="51" spans="1:23" hidden="1" x14ac:dyDescent="0.2">
      <c r="A51" s="4">
        <v>46119</v>
      </c>
      <c r="B51" s="2" t="s">
        <v>233</v>
      </c>
      <c r="C51" s="2" t="s">
        <v>234</v>
      </c>
      <c r="D51" s="5">
        <v>50</v>
      </c>
      <c r="E51" s="5" t="s">
        <v>25</v>
      </c>
      <c r="F51" s="5">
        <v>15524.44</v>
      </c>
      <c r="G51" s="2" t="s">
        <v>49</v>
      </c>
      <c r="H51" s="4">
        <v>46119</v>
      </c>
      <c r="I51" s="2">
        <v>11174450</v>
      </c>
      <c r="J51" s="2" t="s">
        <v>235</v>
      </c>
      <c r="K51" s="2" t="s">
        <v>236</v>
      </c>
      <c r="L51" s="2" t="s">
        <v>25</v>
      </c>
      <c r="M51" s="2" t="s">
        <v>30</v>
      </c>
      <c r="N51" s="2" t="s">
        <v>52</v>
      </c>
      <c r="T51" s="2" t="s">
        <v>25</v>
      </c>
      <c r="U51" s="2" t="s">
        <v>237</v>
      </c>
      <c r="W51" s="2">
        <v>19297378840</v>
      </c>
    </row>
    <row r="52" spans="1:23" hidden="1" x14ac:dyDescent="0.2">
      <c r="A52" s="4">
        <v>46119</v>
      </c>
      <c r="B52" s="2" t="s">
        <v>238</v>
      </c>
      <c r="C52" s="2" t="s">
        <v>234</v>
      </c>
      <c r="D52" s="5">
        <v>50</v>
      </c>
      <c r="E52" s="5" t="s">
        <v>25</v>
      </c>
      <c r="F52" s="5">
        <v>15474.44</v>
      </c>
      <c r="G52" s="2" t="s">
        <v>49</v>
      </c>
      <c r="H52" s="4">
        <v>46119</v>
      </c>
      <c r="I52" s="2">
        <v>11174451</v>
      </c>
      <c r="J52" s="2" t="s">
        <v>235</v>
      </c>
      <c r="K52" s="2" t="s">
        <v>236</v>
      </c>
      <c r="L52" s="2" t="s">
        <v>25</v>
      </c>
      <c r="M52" s="2" t="s">
        <v>30</v>
      </c>
      <c r="N52" s="2" t="s">
        <v>52</v>
      </c>
      <c r="T52" s="2" t="s">
        <v>25</v>
      </c>
      <c r="U52" s="2" t="s">
        <v>237</v>
      </c>
      <c r="W52" s="2">
        <v>19297378842</v>
      </c>
    </row>
    <row r="53" spans="1:23" hidden="1" x14ac:dyDescent="0.2">
      <c r="A53" s="4">
        <v>46119</v>
      </c>
      <c r="B53" s="2" t="s">
        <v>239</v>
      </c>
      <c r="C53" s="2" t="s">
        <v>240</v>
      </c>
      <c r="D53" s="5" t="s">
        <v>25</v>
      </c>
      <c r="E53" s="5">
        <v>317.42</v>
      </c>
      <c r="F53" s="5">
        <v>15791.86</v>
      </c>
      <c r="G53" s="2" t="s">
        <v>26</v>
      </c>
      <c r="H53" s="4">
        <v>46119</v>
      </c>
      <c r="I53" s="2">
        <v>1775558141</v>
      </c>
      <c r="J53" s="2" t="s">
        <v>241</v>
      </c>
      <c r="K53" s="2" t="s">
        <v>242</v>
      </c>
      <c r="L53" s="2" t="s">
        <v>243</v>
      </c>
      <c r="M53" s="2" t="s">
        <v>30</v>
      </c>
      <c r="N53" s="2" t="s">
        <v>31</v>
      </c>
      <c r="R53" s="2" t="s">
        <v>243</v>
      </c>
      <c r="S53" s="2" t="s">
        <v>242</v>
      </c>
      <c r="T53" s="2" t="s">
        <v>25</v>
      </c>
      <c r="U53" s="2" t="s">
        <v>32</v>
      </c>
      <c r="W53" s="2">
        <v>19303722669</v>
      </c>
    </row>
    <row r="54" spans="1:23" hidden="1" x14ac:dyDescent="0.2">
      <c r="A54" s="4">
        <v>46119</v>
      </c>
      <c r="B54" s="2" t="s">
        <v>59</v>
      </c>
      <c r="C54" s="2" t="s">
        <v>244</v>
      </c>
      <c r="D54" s="5" t="s">
        <v>25</v>
      </c>
      <c r="E54" s="5">
        <v>7.67</v>
      </c>
      <c r="F54" s="5">
        <v>15799.53</v>
      </c>
      <c r="G54" s="2" t="s">
        <v>26</v>
      </c>
      <c r="H54" s="4">
        <v>46119</v>
      </c>
      <c r="I54" s="2">
        <v>2848</v>
      </c>
      <c r="J54" s="2" t="s">
        <v>245</v>
      </c>
      <c r="K54" s="2" t="s">
        <v>246</v>
      </c>
      <c r="L54" s="2" t="s">
        <v>247</v>
      </c>
      <c r="M54" s="2" t="s">
        <v>92</v>
      </c>
      <c r="N54" s="2" t="s">
        <v>93</v>
      </c>
      <c r="R54" s="2" t="s">
        <v>247</v>
      </c>
      <c r="S54" s="2" t="s">
        <v>246</v>
      </c>
      <c r="T54" s="2" t="s">
        <v>25</v>
      </c>
      <c r="U54" s="2" t="s">
        <v>81</v>
      </c>
      <c r="V54" s="2" t="s">
        <v>248</v>
      </c>
      <c r="W54" s="2">
        <v>19305351241</v>
      </c>
    </row>
    <row r="55" spans="1:23" hidden="1" x14ac:dyDescent="0.2">
      <c r="A55" s="4">
        <v>46119</v>
      </c>
      <c r="B55" s="2" t="s">
        <v>249</v>
      </c>
      <c r="C55" s="2" t="s">
        <v>231</v>
      </c>
      <c r="D55" s="5" t="s">
        <v>25</v>
      </c>
      <c r="E55" s="5">
        <v>130</v>
      </c>
      <c r="F55" s="5">
        <v>15929.53</v>
      </c>
      <c r="G55" s="2" t="s">
        <v>26</v>
      </c>
      <c r="H55" s="4">
        <v>46119</v>
      </c>
      <c r="I55" s="2">
        <v>1775568329</v>
      </c>
      <c r="J55" s="2" t="s">
        <v>196</v>
      </c>
      <c r="K55" s="2" t="s">
        <v>232</v>
      </c>
      <c r="L55" s="2" t="s">
        <v>198</v>
      </c>
      <c r="M55" s="2" t="s">
        <v>30</v>
      </c>
      <c r="N55" s="2" t="s">
        <v>31</v>
      </c>
      <c r="R55" s="2" t="s">
        <v>198</v>
      </c>
      <c r="S55" s="2" t="s">
        <v>232</v>
      </c>
      <c r="T55" s="2" t="s">
        <v>25</v>
      </c>
      <c r="U55" s="2" t="s">
        <v>32</v>
      </c>
      <c r="W55" s="2">
        <v>19306648021</v>
      </c>
    </row>
    <row r="56" spans="1:23" hidden="1" x14ac:dyDescent="0.2">
      <c r="A56" s="4">
        <v>46119</v>
      </c>
      <c r="B56" s="2" t="s">
        <v>250</v>
      </c>
      <c r="C56" s="2" t="s">
        <v>251</v>
      </c>
      <c r="D56" s="5" t="s">
        <v>25</v>
      </c>
      <c r="E56" s="5">
        <v>247</v>
      </c>
      <c r="F56" s="5">
        <v>16176.53</v>
      </c>
      <c r="G56" s="2" t="s">
        <v>26</v>
      </c>
      <c r="H56" s="4">
        <v>46119</v>
      </c>
      <c r="I56" s="2">
        <v>1775134253</v>
      </c>
      <c r="J56" s="2" t="s">
        <v>252</v>
      </c>
      <c r="K56" s="2" t="s">
        <v>253</v>
      </c>
      <c r="L56" s="2" t="s">
        <v>254</v>
      </c>
      <c r="M56" s="2" t="s">
        <v>30</v>
      </c>
      <c r="N56" s="2" t="s">
        <v>31</v>
      </c>
      <c r="R56" s="2" t="s">
        <v>254</v>
      </c>
      <c r="S56" s="2" t="s">
        <v>253</v>
      </c>
      <c r="T56" s="2" t="s">
        <v>25</v>
      </c>
      <c r="U56" s="2" t="s">
        <v>41</v>
      </c>
      <c r="W56" s="2">
        <v>19306894849</v>
      </c>
    </row>
    <row r="57" spans="1:23" hidden="1" x14ac:dyDescent="0.2">
      <c r="A57" s="4">
        <v>46120</v>
      </c>
      <c r="B57" s="2" t="s">
        <v>255</v>
      </c>
      <c r="C57" s="2" t="s">
        <v>256</v>
      </c>
      <c r="D57" s="5" t="s">
        <v>25</v>
      </c>
      <c r="E57" s="5">
        <v>3658.59</v>
      </c>
      <c r="F57" s="5">
        <v>19835.12</v>
      </c>
      <c r="G57" s="2" t="s">
        <v>26</v>
      </c>
      <c r="H57" s="4">
        <v>46120</v>
      </c>
      <c r="I57" s="2">
        <v>1775208669</v>
      </c>
      <c r="J57" s="2" t="s">
        <v>257</v>
      </c>
      <c r="K57" s="2" t="s">
        <v>258</v>
      </c>
      <c r="L57" s="2" t="s">
        <v>259</v>
      </c>
      <c r="M57" s="2" t="s">
        <v>30</v>
      </c>
      <c r="N57" s="2" t="s">
        <v>31</v>
      </c>
      <c r="R57" s="2" t="s">
        <v>259</v>
      </c>
      <c r="S57" s="2" t="s">
        <v>258</v>
      </c>
      <c r="T57" s="2" t="s">
        <v>25</v>
      </c>
      <c r="U57" s="2" t="s">
        <v>41</v>
      </c>
      <c r="W57" s="2">
        <v>19312759087</v>
      </c>
    </row>
    <row r="58" spans="1:23" hidden="1" x14ac:dyDescent="0.2">
      <c r="A58" s="4">
        <v>46120</v>
      </c>
      <c r="B58" s="2" t="s">
        <v>260</v>
      </c>
      <c r="C58" s="2" t="s">
        <v>261</v>
      </c>
      <c r="D58" s="5" t="s">
        <v>25</v>
      </c>
      <c r="E58" s="5">
        <v>132.16</v>
      </c>
      <c r="F58" s="5">
        <v>19967.28</v>
      </c>
      <c r="G58" s="2" t="s">
        <v>26</v>
      </c>
      <c r="H58" s="4">
        <v>46120</v>
      </c>
      <c r="I58" s="2">
        <v>1775626351</v>
      </c>
      <c r="J58" s="2" t="s">
        <v>262</v>
      </c>
      <c r="K58" s="2" t="s">
        <v>263</v>
      </c>
      <c r="L58" s="2" t="s">
        <v>264</v>
      </c>
      <c r="M58" s="2" t="s">
        <v>30</v>
      </c>
      <c r="N58" s="2" t="s">
        <v>31</v>
      </c>
      <c r="R58" s="2" t="s">
        <v>264</v>
      </c>
      <c r="S58" s="2" t="s">
        <v>263</v>
      </c>
      <c r="T58" s="2" t="s">
        <v>25</v>
      </c>
      <c r="U58" s="2" t="s">
        <v>41</v>
      </c>
      <c r="W58" s="2">
        <v>19312785865</v>
      </c>
    </row>
    <row r="59" spans="1:23" hidden="1" x14ac:dyDescent="0.2">
      <c r="A59" s="4">
        <v>46120</v>
      </c>
      <c r="B59" s="2" t="s">
        <v>265</v>
      </c>
      <c r="C59" s="2" t="s">
        <v>266</v>
      </c>
      <c r="D59" s="5" t="s">
        <v>25</v>
      </c>
      <c r="E59" s="5">
        <v>1172.92</v>
      </c>
      <c r="F59" s="5">
        <v>21140.2</v>
      </c>
      <c r="G59" s="2" t="s">
        <v>26</v>
      </c>
      <c r="H59" s="4">
        <v>46120</v>
      </c>
      <c r="I59" s="2">
        <v>1775554771</v>
      </c>
      <c r="J59" s="2" t="s">
        <v>267</v>
      </c>
      <c r="K59" s="2" t="s">
        <v>268</v>
      </c>
      <c r="L59" s="2" t="s">
        <v>269</v>
      </c>
      <c r="M59" s="2" t="s">
        <v>30</v>
      </c>
      <c r="N59" s="2" t="s">
        <v>31</v>
      </c>
      <c r="R59" s="2" t="s">
        <v>269</v>
      </c>
      <c r="S59" s="2" t="s">
        <v>268</v>
      </c>
      <c r="T59" s="2" t="s">
        <v>25</v>
      </c>
      <c r="U59" s="2" t="s">
        <v>41</v>
      </c>
      <c r="V59" s="2" t="s">
        <v>59</v>
      </c>
      <c r="W59" s="2">
        <v>19316894431</v>
      </c>
    </row>
    <row r="60" spans="1:23" hidden="1" x14ac:dyDescent="0.2">
      <c r="A60" s="4">
        <v>46120</v>
      </c>
      <c r="B60" s="2" t="s">
        <v>270</v>
      </c>
      <c r="C60" s="2" t="s">
        <v>271</v>
      </c>
      <c r="D60" s="5" t="s">
        <v>25</v>
      </c>
      <c r="E60" s="5">
        <v>1707.5</v>
      </c>
      <c r="F60" s="5">
        <v>22847.7</v>
      </c>
      <c r="G60" s="2" t="s">
        <v>26</v>
      </c>
      <c r="H60" s="4">
        <v>46120</v>
      </c>
      <c r="I60" s="2">
        <v>2115673946</v>
      </c>
      <c r="J60" s="2" t="s">
        <v>272</v>
      </c>
      <c r="K60" s="2" t="s">
        <v>273</v>
      </c>
      <c r="L60" s="2" t="s">
        <v>274</v>
      </c>
      <c r="M60" s="2" t="s">
        <v>30</v>
      </c>
      <c r="N60" s="2" t="s">
        <v>31</v>
      </c>
      <c r="R60" s="2" t="s">
        <v>274</v>
      </c>
      <c r="S60" s="2" t="s">
        <v>273</v>
      </c>
      <c r="T60" s="2" t="s">
        <v>25</v>
      </c>
      <c r="U60" s="2" t="s">
        <v>275</v>
      </c>
      <c r="V60" s="2" t="s">
        <v>276</v>
      </c>
      <c r="W60" s="2">
        <v>19317161179</v>
      </c>
    </row>
    <row r="61" spans="1:23" hidden="1" x14ac:dyDescent="0.2">
      <c r="A61" s="4">
        <v>46120</v>
      </c>
      <c r="B61" s="2" t="s">
        <v>277</v>
      </c>
      <c r="C61" s="2" t="s">
        <v>278</v>
      </c>
      <c r="D61" s="5" t="s">
        <v>25</v>
      </c>
      <c r="E61" s="5">
        <v>6928.96</v>
      </c>
      <c r="F61" s="5">
        <v>29776.66</v>
      </c>
      <c r="G61" s="2" t="s">
        <v>26</v>
      </c>
      <c r="H61" s="4">
        <v>46120</v>
      </c>
      <c r="I61" s="2">
        <v>1775654510</v>
      </c>
      <c r="J61" s="2" t="s">
        <v>279</v>
      </c>
      <c r="K61" s="2" t="s">
        <v>280</v>
      </c>
      <c r="L61" s="2" t="s">
        <v>281</v>
      </c>
      <c r="M61" s="2" t="s">
        <v>30</v>
      </c>
      <c r="N61" s="2" t="s">
        <v>31</v>
      </c>
      <c r="R61" s="2" t="s">
        <v>281</v>
      </c>
      <c r="S61" s="2" t="s">
        <v>280</v>
      </c>
      <c r="T61" s="2" t="s">
        <v>25</v>
      </c>
      <c r="U61" s="2" t="s">
        <v>41</v>
      </c>
      <c r="W61" s="2">
        <v>19318936063</v>
      </c>
    </row>
    <row r="62" spans="1:23" hidden="1" x14ac:dyDescent="0.2">
      <c r="A62" s="4">
        <v>46120</v>
      </c>
      <c r="B62" s="2" t="s">
        <v>282</v>
      </c>
      <c r="C62" s="2" t="s">
        <v>231</v>
      </c>
      <c r="D62" s="5" t="s">
        <v>25</v>
      </c>
      <c r="E62" s="5">
        <v>50</v>
      </c>
      <c r="F62" s="5">
        <v>29826.66</v>
      </c>
      <c r="G62" s="2" t="s">
        <v>26</v>
      </c>
      <c r="H62" s="4">
        <v>46120</v>
      </c>
      <c r="I62" s="2">
        <v>1775666042</v>
      </c>
      <c r="J62" s="2" t="s">
        <v>196</v>
      </c>
      <c r="K62" s="2" t="s">
        <v>232</v>
      </c>
      <c r="L62" s="2" t="s">
        <v>198</v>
      </c>
      <c r="M62" s="2" t="s">
        <v>30</v>
      </c>
      <c r="N62" s="2" t="s">
        <v>31</v>
      </c>
      <c r="R62" s="2" t="s">
        <v>198</v>
      </c>
      <c r="S62" s="2" t="s">
        <v>232</v>
      </c>
      <c r="T62" s="2" t="s">
        <v>25</v>
      </c>
      <c r="U62" s="2" t="s">
        <v>32</v>
      </c>
      <c r="W62" s="2">
        <v>19320681761</v>
      </c>
    </row>
    <row r="63" spans="1:23" hidden="1" x14ac:dyDescent="0.2">
      <c r="A63" s="4">
        <v>46120</v>
      </c>
      <c r="B63" s="2" t="s">
        <v>283</v>
      </c>
      <c r="C63" s="2" t="s">
        <v>150</v>
      </c>
      <c r="D63" s="5" t="s">
        <v>25</v>
      </c>
      <c r="E63" s="5">
        <v>100</v>
      </c>
      <c r="F63" s="5">
        <v>29926.66</v>
      </c>
      <c r="G63" s="2" t="s">
        <v>26</v>
      </c>
      <c r="H63" s="4">
        <v>46120</v>
      </c>
      <c r="I63" s="2">
        <v>1775667129</v>
      </c>
      <c r="J63" s="2" t="s">
        <v>151</v>
      </c>
      <c r="K63" s="2" t="s">
        <v>152</v>
      </c>
      <c r="L63" s="2" t="s">
        <v>153</v>
      </c>
      <c r="M63" s="2" t="s">
        <v>30</v>
      </c>
      <c r="N63" s="2" t="s">
        <v>31</v>
      </c>
      <c r="R63" s="2" t="s">
        <v>153</v>
      </c>
      <c r="S63" s="2" t="s">
        <v>152</v>
      </c>
      <c r="T63" s="2" t="s">
        <v>25</v>
      </c>
      <c r="U63" s="2" t="s">
        <v>32</v>
      </c>
      <c r="W63" s="2">
        <v>19320814921</v>
      </c>
    </row>
    <row r="64" spans="1:23" hidden="1" x14ac:dyDescent="0.2">
      <c r="A64" s="4">
        <v>46120</v>
      </c>
      <c r="B64" s="2" t="s">
        <v>284</v>
      </c>
      <c r="C64" s="2" t="s">
        <v>231</v>
      </c>
      <c r="D64" s="5" t="s">
        <v>25</v>
      </c>
      <c r="E64" s="5">
        <v>40</v>
      </c>
      <c r="F64" s="5">
        <v>29966.66</v>
      </c>
      <c r="G64" s="2" t="s">
        <v>26</v>
      </c>
      <c r="H64" s="4">
        <v>46120</v>
      </c>
      <c r="I64" s="2">
        <v>1775670052</v>
      </c>
      <c r="J64" s="2" t="s">
        <v>196</v>
      </c>
      <c r="K64" s="2" t="s">
        <v>232</v>
      </c>
      <c r="L64" s="2" t="s">
        <v>198</v>
      </c>
      <c r="M64" s="2" t="s">
        <v>30</v>
      </c>
      <c r="N64" s="2" t="s">
        <v>31</v>
      </c>
      <c r="R64" s="2" t="s">
        <v>198</v>
      </c>
      <c r="S64" s="2" t="s">
        <v>232</v>
      </c>
      <c r="T64" s="2" t="s">
        <v>25</v>
      </c>
      <c r="U64" s="2" t="s">
        <v>32</v>
      </c>
      <c r="W64" s="2">
        <v>19321121189</v>
      </c>
    </row>
    <row r="65" spans="1:23" hidden="1" x14ac:dyDescent="0.2">
      <c r="A65" s="4">
        <v>46120</v>
      </c>
      <c r="B65" s="2" t="s">
        <v>285</v>
      </c>
      <c r="C65" s="2" t="s">
        <v>286</v>
      </c>
      <c r="D65" s="5" t="s">
        <v>25</v>
      </c>
      <c r="E65" s="5">
        <v>30.68</v>
      </c>
      <c r="F65" s="5">
        <v>29997.34</v>
      </c>
      <c r="G65" s="2" t="s">
        <v>26</v>
      </c>
      <c r="H65" s="4">
        <v>46120</v>
      </c>
      <c r="I65" s="2">
        <v>1775678070</v>
      </c>
      <c r="J65" s="2" t="s">
        <v>287</v>
      </c>
      <c r="K65" s="2" t="s">
        <v>288</v>
      </c>
      <c r="L65" s="2" t="s">
        <v>289</v>
      </c>
      <c r="M65" s="2" t="s">
        <v>30</v>
      </c>
      <c r="N65" s="2" t="s">
        <v>31</v>
      </c>
      <c r="R65" s="2" t="s">
        <v>289</v>
      </c>
      <c r="S65" s="2" t="s">
        <v>288</v>
      </c>
      <c r="T65" s="2" t="s">
        <v>25</v>
      </c>
      <c r="U65" s="2" t="s">
        <v>41</v>
      </c>
      <c r="W65" s="2">
        <v>19321657818</v>
      </c>
    </row>
    <row r="66" spans="1:23" x14ac:dyDescent="0.2">
      <c r="A66" s="4">
        <v>46121</v>
      </c>
      <c r="B66" s="2" t="s">
        <v>42</v>
      </c>
      <c r="C66" s="2" t="s">
        <v>290</v>
      </c>
      <c r="D66" s="5">
        <v>622</v>
      </c>
      <c r="E66" s="5" t="s">
        <v>25</v>
      </c>
      <c r="F66" s="5">
        <v>29375.34</v>
      </c>
      <c r="G66" s="2" t="s">
        <v>35</v>
      </c>
      <c r="H66" s="4">
        <v>46121</v>
      </c>
      <c r="I66" s="2">
        <v>1775722614</v>
      </c>
      <c r="J66" s="2" t="s">
        <v>291</v>
      </c>
      <c r="K66" s="2" t="s">
        <v>292</v>
      </c>
      <c r="L66" s="2" t="s">
        <v>293</v>
      </c>
      <c r="M66" s="2" t="s">
        <v>30</v>
      </c>
      <c r="N66" s="2" t="s">
        <v>31</v>
      </c>
      <c r="R66" s="2" t="s">
        <v>39</v>
      </c>
      <c r="S66" s="2" t="s">
        <v>40</v>
      </c>
      <c r="T66" s="2" t="s">
        <v>25</v>
      </c>
      <c r="U66" s="2" t="s">
        <v>41</v>
      </c>
      <c r="W66" s="2">
        <v>19325124699</v>
      </c>
    </row>
    <row r="67" spans="1:23" hidden="1" x14ac:dyDescent="0.2">
      <c r="A67" s="4">
        <v>46121</v>
      </c>
      <c r="B67" s="2" t="s">
        <v>42</v>
      </c>
      <c r="C67" s="2" t="s">
        <v>179</v>
      </c>
      <c r="D67" s="5">
        <v>783.1</v>
      </c>
      <c r="E67" s="5" t="s">
        <v>25</v>
      </c>
      <c r="F67" s="5">
        <v>28592.240000000002</v>
      </c>
      <c r="G67" s="2" t="s">
        <v>35</v>
      </c>
      <c r="H67" s="4">
        <v>46121</v>
      </c>
      <c r="I67" s="2">
        <v>1775722658</v>
      </c>
      <c r="J67" s="2" t="s">
        <v>180</v>
      </c>
      <c r="K67" s="2" t="s">
        <v>181</v>
      </c>
      <c r="L67" s="2" t="s">
        <v>153</v>
      </c>
      <c r="M67" s="2" t="s">
        <v>30</v>
      </c>
      <c r="N67" s="2" t="s">
        <v>31</v>
      </c>
      <c r="R67" s="2" t="s">
        <v>39</v>
      </c>
      <c r="S67" s="2" t="s">
        <v>40</v>
      </c>
      <c r="T67" s="2" t="s">
        <v>25</v>
      </c>
      <c r="U67" s="2" t="s">
        <v>41</v>
      </c>
      <c r="W67" s="2">
        <v>19325124721</v>
      </c>
    </row>
    <row r="68" spans="1:23" hidden="1" x14ac:dyDescent="0.2">
      <c r="A68" s="4">
        <v>46121</v>
      </c>
      <c r="B68" s="2" t="s">
        <v>42</v>
      </c>
      <c r="C68" s="2" t="s">
        <v>294</v>
      </c>
      <c r="D68" s="5">
        <v>878.63</v>
      </c>
      <c r="E68" s="5" t="s">
        <v>25</v>
      </c>
      <c r="F68" s="5">
        <v>27713.61</v>
      </c>
      <c r="G68" s="2" t="s">
        <v>35</v>
      </c>
      <c r="H68" s="4">
        <v>46121</v>
      </c>
      <c r="I68" s="2">
        <v>1775722687</v>
      </c>
      <c r="J68" s="2" t="s">
        <v>66</v>
      </c>
      <c r="K68" s="2" t="s">
        <v>295</v>
      </c>
      <c r="L68" s="2" t="s">
        <v>68</v>
      </c>
      <c r="M68" s="2" t="s">
        <v>30</v>
      </c>
      <c r="N68" s="2" t="s">
        <v>31</v>
      </c>
      <c r="R68" s="2" t="s">
        <v>39</v>
      </c>
      <c r="S68" s="2" t="s">
        <v>40</v>
      </c>
      <c r="T68" s="2" t="s">
        <v>25</v>
      </c>
      <c r="U68" s="2" t="s">
        <v>41</v>
      </c>
      <c r="W68" s="2">
        <v>19325124899</v>
      </c>
    </row>
    <row r="69" spans="1:23" hidden="1" x14ac:dyDescent="0.2">
      <c r="A69" s="4">
        <v>46121</v>
      </c>
      <c r="B69" s="2" t="s">
        <v>42</v>
      </c>
      <c r="C69" s="2" t="s">
        <v>296</v>
      </c>
      <c r="D69" s="5">
        <v>724</v>
      </c>
      <c r="E69" s="5" t="s">
        <v>25</v>
      </c>
      <c r="F69" s="5">
        <v>26989.61</v>
      </c>
      <c r="G69" s="2" t="s">
        <v>35</v>
      </c>
      <c r="H69" s="4">
        <v>46121</v>
      </c>
      <c r="I69" s="2">
        <v>1775722708</v>
      </c>
      <c r="J69" s="2" t="s">
        <v>297</v>
      </c>
      <c r="K69" s="2" t="s">
        <v>298</v>
      </c>
      <c r="L69" s="2" t="s">
        <v>299</v>
      </c>
      <c r="M69" s="2" t="s">
        <v>30</v>
      </c>
      <c r="N69" s="2" t="s">
        <v>31</v>
      </c>
      <c r="R69" s="2" t="s">
        <v>39</v>
      </c>
      <c r="S69" s="2" t="s">
        <v>40</v>
      </c>
      <c r="T69" s="2" t="s">
        <v>25</v>
      </c>
      <c r="U69" s="2" t="s">
        <v>41</v>
      </c>
      <c r="W69" s="2">
        <v>19325124919</v>
      </c>
    </row>
    <row r="70" spans="1:23" hidden="1" x14ac:dyDescent="0.2">
      <c r="A70" s="4">
        <v>46121</v>
      </c>
      <c r="B70" s="2" t="s">
        <v>42</v>
      </c>
      <c r="C70" s="2" t="s">
        <v>300</v>
      </c>
      <c r="D70" s="5">
        <v>372.69</v>
      </c>
      <c r="E70" s="5" t="s">
        <v>25</v>
      </c>
      <c r="F70" s="5">
        <v>26616.92</v>
      </c>
      <c r="G70" s="2" t="s">
        <v>35</v>
      </c>
      <c r="H70" s="4">
        <v>46121</v>
      </c>
      <c r="I70" s="2">
        <v>1775722729</v>
      </c>
      <c r="J70" s="2" t="s">
        <v>71</v>
      </c>
      <c r="K70" s="2" t="s">
        <v>301</v>
      </c>
      <c r="L70" s="2" t="s">
        <v>73</v>
      </c>
      <c r="M70" s="2" t="s">
        <v>30</v>
      </c>
      <c r="N70" s="2" t="s">
        <v>31</v>
      </c>
      <c r="R70" s="2" t="s">
        <v>39</v>
      </c>
      <c r="S70" s="2" t="s">
        <v>40</v>
      </c>
      <c r="T70" s="2" t="s">
        <v>25</v>
      </c>
      <c r="U70" s="2" t="s">
        <v>41</v>
      </c>
      <c r="W70" s="2">
        <v>19325124931</v>
      </c>
    </row>
    <row r="71" spans="1:23" hidden="1" x14ac:dyDescent="0.2">
      <c r="A71" s="4">
        <v>46121</v>
      </c>
      <c r="B71" s="2" t="s">
        <v>42</v>
      </c>
      <c r="C71" s="2" t="s">
        <v>190</v>
      </c>
      <c r="D71" s="5">
        <v>628</v>
      </c>
      <c r="E71" s="5" t="s">
        <v>25</v>
      </c>
      <c r="F71" s="5">
        <v>25988.92</v>
      </c>
      <c r="G71" s="2" t="s">
        <v>35</v>
      </c>
      <c r="H71" s="4">
        <v>46121</v>
      </c>
      <c r="I71" s="2">
        <v>1775722769</v>
      </c>
      <c r="J71" s="2" t="s">
        <v>44</v>
      </c>
      <c r="K71" s="2" t="s">
        <v>191</v>
      </c>
      <c r="L71" s="2" t="s">
        <v>46</v>
      </c>
      <c r="M71" s="2" t="s">
        <v>30</v>
      </c>
      <c r="N71" s="2" t="s">
        <v>31</v>
      </c>
      <c r="R71" s="2" t="s">
        <v>39</v>
      </c>
      <c r="S71" s="2" t="s">
        <v>40</v>
      </c>
      <c r="T71" s="2" t="s">
        <v>25</v>
      </c>
      <c r="U71" s="2" t="s">
        <v>41</v>
      </c>
      <c r="W71" s="2">
        <v>19325125103</v>
      </c>
    </row>
    <row r="72" spans="1:23" hidden="1" x14ac:dyDescent="0.2">
      <c r="A72" s="4">
        <v>46121</v>
      </c>
      <c r="B72" s="2" t="s">
        <v>42</v>
      </c>
      <c r="C72" s="2" t="s">
        <v>195</v>
      </c>
      <c r="D72" s="5">
        <v>403.53</v>
      </c>
      <c r="E72" s="5" t="s">
        <v>25</v>
      </c>
      <c r="F72" s="5">
        <v>25585.39</v>
      </c>
      <c r="G72" s="2" t="s">
        <v>35</v>
      </c>
      <c r="H72" s="4">
        <v>46121</v>
      </c>
      <c r="I72" s="2">
        <v>1775722843</v>
      </c>
      <c r="J72" s="2" t="s">
        <v>196</v>
      </c>
      <c r="K72" s="2" t="s">
        <v>197</v>
      </c>
      <c r="L72" s="2" t="s">
        <v>198</v>
      </c>
      <c r="M72" s="2" t="s">
        <v>30</v>
      </c>
      <c r="N72" s="2" t="s">
        <v>31</v>
      </c>
      <c r="R72" s="2" t="s">
        <v>39</v>
      </c>
      <c r="S72" s="2" t="s">
        <v>40</v>
      </c>
      <c r="T72" s="2" t="s">
        <v>25</v>
      </c>
      <c r="U72" s="2" t="s">
        <v>41</v>
      </c>
      <c r="W72" s="2">
        <v>19325125107</v>
      </c>
    </row>
    <row r="73" spans="1:23" hidden="1" x14ac:dyDescent="0.2">
      <c r="A73" s="4">
        <v>46121</v>
      </c>
      <c r="B73" s="2" t="s">
        <v>302</v>
      </c>
      <c r="C73" s="2" t="s">
        <v>303</v>
      </c>
      <c r="D73" s="5" t="s">
        <v>25</v>
      </c>
      <c r="E73" s="5">
        <v>5000</v>
      </c>
      <c r="F73" s="5">
        <v>30585.39</v>
      </c>
      <c r="G73" s="2" t="s">
        <v>304</v>
      </c>
      <c r="H73" s="4">
        <v>46121</v>
      </c>
      <c r="I73" s="2">
        <v>1775723328</v>
      </c>
      <c r="J73" s="2" t="s">
        <v>305</v>
      </c>
      <c r="K73" s="2" t="s">
        <v>40</v>
      </c>
      <c r="L73" s="2" t="s">
        <v>39</v>
      </c>
      <c r="M73" s="2" t="s">
        <v>30</v>
      </c>
      <c r="N73" s="2" t="s">
        <v>31</v>
      </c>
      <c r="R73" s="2" t="s">
        <v>39</v>
      </c>
      <c r="S73" s="2" t="s">
        <v>40</v>
      </c>
      <c r="T73" s="2" t="s">
        <v>25</v>
      </c>
      <c r="U73" s="2" t="s">
        <v>306</v>
      </c>
      <c r="W73" s="2">
        <v>19325125109</v>
      </c>
    </row>
    <row r="74" spans="1:23" hidden="1" x14ac:dyDescent="0.2">
      <c r="A74" s="4">
        <v>46121</v>
      </c>
      <c r="B74" s="2" t="s">
        <v>307</v>
      </c>
      <c r="C74" s="2" t="s">
        <v>231</v>
      </c>
      <c r="D74" s="5" t="s">
        <v>25</v>
      </c>
      <c r="E74" s="5">
        <v>100</v>
      </c>
      <c r="F74" s="5">
        <v>30685.39</v>
      </c>
      <c r="G74" s="2" t="s">
        <v>26</v>
      </c>
      <c r="H74" s="4">
        <v>46121</v>
      </c>
      <c r="I74" s="2">
        <v>1775727501</v>
      </c>
      <c r="J74" s="2" t="s">
        <v>196</v>
      </c>
      <c r="K74" s="2" t="s">
        <v>232</v>
      </c>
      <c r="L74" s="2" t="s">
        <v>198</v>
      </c>
      <c r="M74" s="2" t="s">
        <v>30</v>
      </c>
      <c r="N74" s="2" t="s">
        <v>31</v>
      </c>
      <c r="R74" s="2" t="s">
        <v>198</v>
      </c>
      <c r="S74" s="2" t="s">
        <v>232</v>
      </c>
      <c r="T74" s="2" t="s">
        <v>25</v>
      </c>
      <c r="U74" s="2" t="s">
        <v>32</v>
      </c>
      <c r="W74" s="2">
        <v>19326661523</v>
      </c>
    </row>
    <row r="75" spans="1:23" hidden="1" x14ac:dyDescent="0.2">
      <c r="A75" s="4">
        <v>46121</v>
      </c>
      <c r="B75" s="2" t="s">
        <v>23</v>
      </c>
      <c r="C75" s="2" t="s">
        <v>24</v>
      </c>
      <c r="D75" s="5" t="s">
        <v>25</v>
      </c>
      <c r="E75" s="5">
        <v>67</v>
      </c>
      <c r="F75" s="5">
        <v>30752.39</v>
      </c>
      <c r="G75" s="2" t="s">
        <v>26</v>
      </c>
      <c r="H75" s="4">
        <v>46121</v>
      </c>
      <c r="I75" s="2">
        <v>1775743929</v>
      </c>
      <c r="J75" s="2" t="s">
        <v>27</v>
      </c>
      <c r="K75" s="2" t="s">
        <v>28</v>
      </c>
      <c r="L75" s="2" t="s">
        <v>29</v>
      </c>
      <c r="M75" s="2" t="s">
        <v>30</v>
      </c>
      <c r="N75" s="2" t="s">
        <v>31</v>
      </c>
      <c r="R75" s="2" t="s">
        <v>29</v>
      </c>
      <c r="S75" s="2" t="s">
        <v>28</v>
      </c>
      <c r="T75" s="2" t="s">
        <v>25</v>
      </c>
      <c r="U75" s="2" t="s">
        <v>32</v>
      </c>
      <c r="W75" s="2">
        <v>19331414845</v>
      </c>
    </row>
    <row r="76" spans="1:23" hidden="1" x14ac:dyDescent="0.2">
      <c r="A76" s="4">
        <v>46121</v>
      </c>
      <c r="B76" s="2" t="s">
        <v>23</v>
      </c>
      <c r="C76" s="2" t="s">
        <v>24</v>
      </c>
      <c r="D76" s="5" t="s">
        <v>25</v>
      </c>
      <c r="E76" s="5">
        <v>100</v>
      </c>
      <c r="F76" s="5">
        <v>30852.39</v>
      </c>
      <c r="G76" s="2" t="s">
        <v>26</v>
      </c>
      <c r="H76" s="4">
        <v>46121</v>
      </c>
      <c r="I76" s="2">
        <v>1775750839</v>
      </c>
      <c r="J76" s="2" t="s">
        <v>27</v>
      </c>
      <c r="K76" s="2" t="s">
        <v>28</v>
      </c>
      <c r="L76" s="2" t="s">
        <v>29</v>
      </c>
      <c r="M76" s="2" t="s">
        <v>30</v>
      </c>
      <c r="N76" s="2" t="s">
        <v>31</v>
      </c>
      <c r="R76" s="2" t="s">
        <v>29</v>
      </c>
      <c r="S76" s="2" t="s">
        <v>28</v>
      </c>
      <c r="T76" s="2" t="s">
        <v>25</v>
      </c>
      <c r="U76" s="2" t="s">
        <v>32</v>
      </c>
      <c r="W76" s="2">
        <v>19332214743</v>
      </c>
    </row>
    <row r="77" spans="1:23" hidden="1" x14ac:dyDescent="0.2">
      <c r="A77" s="4">
        <v>46121</v>
      </c>
      <c r="B77" s="2" t="s">
        <v>308</v>
      </c>
      <c r="C77" s="2" t="s">
        <v>231</v>
      </c>
      <c r="D77" s="5" t="s">
        <v>25</v>
      </c>
      <c r="E77" s="5">
        <v>239</v>
      </c>
      <c r="F77" s="5">
        <v>31091.39</v>
      </c>
      <c r="G77" s="2" t="s">
        <v>26</v>
      </c>
      <c r="H77" s="4">
        <v>46121</v>
      </c>
      <c r="I77" s="2">
        <v>1775754009</v>
      </c>
      <c r="J77" s="2" t="s">
        <v>196</v>
      </c>
      <c r="K77" s="2" t="s">
        <v>232</v>
      </c>
      <c r="L77" s="2" t="s">
        <v>198</v>
      </c>
      <c r="M77" s="2" t="s">
        <v>30</v>
      </c>
      <c r="N77" s="2" t="s">
        <v>31</v>
      </c>
      <c r="R77" s="2" t="s">
        <v>198</v>
      </c>
      <c r="S77" s="2" t="s">
        <v>232</v>
      </c>
      <c r="T77" s="2" t="s">
        <v>25</v>
      </c>
      <c r="U77" s="2" t="s">
        <v>32</v>
      </c>
      <c r="W77" s="2">
        <v>19332544987</v>
      </c>
    </row>
    <row r="78" spans="1:23" hidden="1" x14ac:dyDescent="0.2">
      <c r="A78" s="4">
        <v>46121</v>
      </c>
      <c r="B78" s="2" t="s">
        <v>309</v>
      </c>
      <c r="C78" s="2" t="s">
        <v>231</v>
      </c>
      <c r="D78" s="5" t="s">
        <v>25</v>
      </c>
      <c r="E78" s="5">
        <v>64</v>
      </c>
      <c r="F78" s="5">
        <v>31155.39</v>
      </c>
      <c r="G78" s="2" t="s">
        <v>26</v>
      </c>
      <c r="H78" s="4">
        <v>46121</v>
      </c>
      <c r="I78" s="2">
        <v>1775754032</v>
      </c>
      <c r="J78" s="2" t="s">
        <v>196</v>
      </c>
      <c r="K78" s="2" t="s">
        <v>232</v>
      </c>
      <c r="L78" s="2" t="s">
        <v>198</v>
      </c>
      <c r="M78" s="2" t="s">
        <v>30</v>
      </c>
      <c r="N78" s="2" t="s">
        <v>31</v>
      </c>
      <c r="R78" s="2" t="s">
        <v>198</v>
      </c>
      <c r="S78" s="2" t="s">
        <v>232</v>
      </c>
      <c r="T78" s="2" t="s">
        <v>25</v>
      </c>
      <c r="U78" s="2" t="s">
        <v>32</v>
      </c>
      <c r="W78" s="2">
        <v>19332548113</v>
      </c>
    </row>
    <row r="79" spans="1:23" hidden="1" x14ac:dyDescent="0.2">
      <c r="A79" s="4">
        <v>46125</v>
      </c>
      <c r="B79" s="2" t="s">
        <v>165</v>
      </c>
      <c r="C79" s="2" t="s">
        <v>310</v>
      </c>
      <c r="D79" s="5" t="s">
        <v>25</v>
      </c>
      <c r="E79" s="5">
        <v>2365.31</v>
      </c>
      <c r="F79" s="5">
        <v>33520.699999999997</v>
      </c>
      <c r="G79" s="2" t="s">
        <v>26</v>
      </c>
      <c r="H79" s="4">
        <v>46125</v>
      </c>
      <c r="I79" s="2">
        <v>1776073159</v>
      </c>
      <c r="J79" s="2" t="s">
        <v>311</v>
      </c>
      <c r="K79" s="2" t="s">
        <v>312</v>
      </c>
      <c r="L79" s="2" t="s">
        <v>313</v>
      </c>
      <c r="M79" s="2" t="s">
        <v>30</v>
      </c>
      <c r="N79" s="2" t="s">
        <v>31</v>
      </c>
      <c r="R79" s="2" t="s">
        <v>313</v>
      </c>
      <c r="S79" s="2" t="s">
        <v>312</v>
      </c>
      <c r="T79" s="2" t="s">
        <v>25</v>
      </c>
      <c r="U79" s="2" t="s">
        <v>32</v>
      </c>
      <c r="W79" s="2">
        <v>19364898298</v>
      </c>
    </row>
    <row r="80" spans="1:23" x14ac:dyDescent="0.2">
      <c r="A80" s="4">
        <v>46126</v>
      </c>
      <c r="B80" s="2" t="s">
        <v>314</v>
      </c>
      <c r="C80" s="2" t="s">
        <v>315</v>
      </c>
      <c r="D80" s="5" t="s">
        <v>25</v>
      </c>
      <c r="E80" s="5">
        <v>175</v>
      </c>
      <c r="F80" s="5">
        <v>33695.699999999997</v>
      </c>
      <c r="G80" s="2" t="s">
        <v>26</v>
      </c>
      <c r="H80" s="4">
        <v>46126</v>
      </c>
      <c r="I80" s="2">
        <v>1776155158</v>
      </c>
      <c r="J80" s="2" t="s">
        <v>291</v>
      </c>
      <c r="K80" s="2" t="s">
        <v>316</v>
      </c>
      <c r="L80" s="2" t="s">
        <v>293</v>
      </c>
      <c r="M80" s="2" t="s">
        <v>30</v>
      </c>
      <c r="N80" s="2" t="s">
        <v>31</v>
      </c>
      <c r="R80" s="2" t="s">
        <v>293</v>
      </c>
      <c r="S80" s="2" t="s">
        <v>316</v>
      </c>
      <c r="T80" s="2" t="s">
        <v>25</v>
      </c>
      <c r="U80" s="2" t="s">
        <v>32</v>
      </c>
      <c r="W80" s="2">
        <v>19370471937</v>
      </c>
    </row>
    <row r="81" spans="1:23" x14ac:dyDescent="0.2">
      <c r="A81" s="4">
        <v>46126</v>
      </c>
      <c r="B81" s="2" t="s">
        <v>317</v>
      </c>
      <c r="C81" s="2" t="s">
        <v>315</v>
      </c>
      <c r="D81" s="5" t="s">
        <v>25</v>
      </c>
      <c r="E81" s="5">
        <v>57</v>
      </c>
      <c r="F81" s="5">
        <v>33752.699999999997</v>
      </c>
      <c r="G81" s="2" t="s">
        <v>26</v>
      </c>
      <c r="H81" s="4">
        <v>46126</v>
      </c>
      <c r="I81" s="2">
        <v>1776155219</v>
      </c>
      <c r="J81" s="2" t="s">
        <v>291</v>
      </c>
      <c r="K81" s="2" t="s">
        <v>316</v>
      </c>
      <c r="L81" s="2" t="s">
        <v>293</v>
      </c>
      <c r="M81" s="2" t="s">
        <v>30</v>
      </c>
      <c r="N81" s="2" t="s">
        <v>31</v>
      </c>
      <c r="R81" s="2" t="s">
        <v>293</v>
      </c>
      <c r="S81" s="2" t="s">
        <v>316</v>
      </c>
      <c r="T81" s="2" t="s">
        <v>25</v>
      </c>
      <c r="U81" s="2" t="s">
        <v>32</v>
      </c>
      <c r="W81" s="2">
        <v>19370499859</v>
      </c>
    </row>
    <row r="82" spans="1:23" hidden="1" x14ac:dyDescent="0.2">
      <c r="A82" s="4">
        <v>46126</v>
      </c>
      <c r="B82" s="2" t="s">
        <v>318</v>
      </c>
      <c r="C82" s="2" t="s">
        <v>83</v>
      </c>
      <c r="D82" s="5">
        <v>1915</v>
      </c>
      <c r="E82" s="5" t="s">
        <v>25</v>
      </c>
      <c r="F82" s="5">
        <v>31837.7</v>
      </c>
      <c r="G82" s="2" t="s">
        <v>35</v>
      </c>
      <c r="H82" s="4">
        <v>46126</v>
      </c>
      <c r="I82" s="2">
        <v>1776152990</v>
      </c>
      <c r="J82" s="2" t="s">
        <v>84</v>
      </c>
      <c r="K82" s="2" t="s">
        <v>85</v>
      </c>
      <c r="L82" s="2" t="s">
        <v>86</v>
      </c>
      <c r="M82" s="2" t="s">
        <v>30</v>
      </c>
      <c r="N82" s="2" t="s">
        <v>31</v>
      </c>
      <c r="R82" s="2" t="s">
        <v>39</v>
      </c>
      <c r="S82" s="2" t="s">
        <v>40</v>
      </c>
      <c r="T82" s="2" t="s">
        <v>25</v>
      </c>
      <c r="U82" s="2" t="s">
        <v>41</v>
      </c>
      <c r="W82" s="2">
        <v>19371476483</v>
      </c>
    </row>
    <row r="83" spans="1:23" x14ac:dyDescent="0.2">
      <c r="A83" s="4">
        <v>46126</v>
      </c>
      <c r="B83" s="2" t="s">
        <v>42</v>
      </c>
      <c r="C83" s="2" t="s">
        <v>290</v>
      </c>
      <c r="D83" s="5">
        <v>152</v>
      </c>
      <c r="E83" s="5" t="s">
        <v>25</v>
      </c>
      <c r="F83" s="5">
        <v>31685.7</v>
      </c>
      <c r="G83" s="2" t="s">
        <v>35</v>
      </c>
      <c r="H83" s="4">
        <v>46126</v>
      </c>
      <c r="I83" s="2">
        <v>1776153803</v>
      </c>
      <c r="J83" s="2" t="s">
        <v>291</v>
      </c>
      <c r="K83" s="2" t="s">
        <v>292</v>
      </c>
      <c r="L83" s="2" t="s">
        <v>293</v>
      </c>
      <c r="M83" s="2" t="s">
        <v>30</v>
      </c>
      <c r="N83" s="2" t="s">
        <v>31</v>
      </c>
      <c r="R83" s="2" t="s">
        <v>39</v>
      </c>
      <c r="S83" s="2" t="s">
        <v>40</v>
      </c>
      <c r="T83" s="2" t="s">
        <v>25</v>
      </c>
      <c r="U83" s="2" t="s">
        <v>41</v>
      </c>
      <c r="W83" s="2">
        <v>19371476707</v>
      </c>
    </row>
    <row r="84" spans="1:23" hidden="1" x14ac:dyDescent="0.2">
      <c r="A84" s="4">
        <v>46126</v>
      </c>
      <c r="B84" s="2" t="s">
        <v>42</v>
      </c>
      <c r="C84" s="2" t="s">
        <v>179</v>
      </c>
      <c r="D84" s="5">
        <v>187.21</v>
      </c>
      <c r="E84" s="5" t="s">
        <v>25</v>
      </c>
      <c r="F84" s="5">
        <v>31498.49</v>
      </c>
      <c r="G84" s="2" t="s">
        <v>35</v>
      </c>
      <c r="H84" s="4">
        <v>46126</v>
      </c>
      <c r="I84" s="2">
        <v>1776153831</v>
      </c>
      <c r="J84" s="2" t="s">
        <v>180</v>
      </c>
      <c r="K84" s="2" t="s">
        <v>181</v>
      </c>
      <c r="L84" s="2" t="s">
        <v>153</v>
      </c>
      <c r="M84" s="2" t="s">
        <v>30</v>
      </c>
      <c r="N84" s="2" t="s">
        <v>31</v>
      </c>
      <c r="R84" s="2" t="s">
        <v>39</v>
      </c>
      <c r="S84" s="2" t="s">
        <v>40</v>
      </c>
      <c r="T84" s="2" t="s">
        <v>25</v>
      </c>
      <c r="U84" s="2" t="s">
        <v>41</v>
      </c>
      <c r="W84" s="2">
        <v>19371476727</v>
      </c>
    </row>
    <row r="85" spans="1:23" hidden="1" x14ac:dyDescent="0.2">
      <c r="A85" s="4">
        <v>46126</v>
      </c>
      <c r="B85" s="2" t="s">
        <v>42</v>
      </c>
      <c r="C85" s="2" t="s">
        <v>294</v>
      </c>
      <c r="D85" s="5">
        <v>110.5</v>
      </c>
      <c r="E85" s="5" t="s">
        <v>25</v>
      </c>
      <c r="F85" s="5">
        <v>31387.99</v>
      </c>
      <c r="G85" s="2" t="s">
        <v>35</v>
      </c>
      <c r="H85" s="4">
        <v>46126</v>
      </c>
      <c r="I85" s="2">
        <v>1776153921</v>
      </c>
      <c r="J85" s="2" t="s">
        <v>66</v>
      </c>
      <c r="K85" s="2" t="s">
        <v>295</v>
      </c>
      <c r="L85" s="2" t="s">
        <v>68</v>
      </c>
      <c r="M85" s="2" t="s">
        <v>30</v>
      </c>
      <c r="N85" s="2" t="s">
        <v>31</v>
      </c>
      <c r="R85" s="2" t="s">
        <v>39</v>
      </c>
      <c r="S85" s="2" t="s">
        <v>40</v>
      </c>
      <c r="T85" s="2" t="s">
        <v>25</v>
      </c>
      <c r="U85" s="2" t="s">
        <v>41</v>
      </c>
      <c r="W85" s="2">
        <v>19371476773</v>
      </c>
    </row>
    <row r="86" spans="1:23" hidden="1" x14ac:dyDescent="0.2">
      <c r="A86" s="4">
        <v>46126</v>
      </c>
      <c r="B86" s="2" t="s">
        <v>42</v>
      </c>
      <c r="C86" s="2" t="s">
        <v>296</v>
      </c>
      <c r="D86" s="5">
        <v>200</v>
      </c>
      <c r="E86" s="5" t="s">
        <v>25</v>
      </c>
      <c r="F86" s="5">
        <v>31187.99</v>
      </c>
      <c r="G86" s="2" t="s">
        <v>35</v>
      </c>
      <c r="H86" s="4">
        <v>46126</v>
      </c>
      <c r="I86" s="2">
        <v>1776153964</v>
      </c>
      <c r="J86" s="2" t="s">
        <v>297</v>
      </c>
      <c r="K86" s="2" t="s">
        <v>298</v>
      </c>
      <c r="L86" s="2" t="s">
        <v>299</v>
      </c>
      <c r="M86" s="2" t="s">
        <v>30</v>
      </c>
      <c r="N86" s="2" t="s">
        <v>31</v>
      </c>
      <c r="R86" s="2" t="s">
        <v>39</v>
      </c>
      <c r="S86" s="2" t="s">
        <v>40</v>
      </c>
      <c r="T86" s="2" t="s">
        <v>25</v>
      </c>
      <c r="U86" s="2" t="s">
        <v>41</v>
      </c>
      <c r="W86" s="2">
        <v>19371476933</v>
      </c>
    </row>
    <row r="87" spans="1:23" hidden="1" x14ac:dyDescent="0.2">
      <c r="A87" s="4">
        <v>46126</v>
      </c>
      <c r="B87" s="2" t="s">
        <v>42</v>
      </c>
      <c r="C87" s="2" t="s">
        <v>300</v>
      </c>
      <c r="D87" s="5">
        <v>20</v>
      </c>
      <c r="E87" s="5" t="s">
        <v>25</v>
      </c>
      <c r="F87" s="5">
        <v>31167.99</v>
      </c>
      <c r="G87" s="2" t="s">
        <v>35</v>
      </c>
      <c r="H87" s="4">
        <v>46126</v>
      </c>
      <c r="I87" s="2">
        <v>1776153984</v>
      </c>
      <c r="J87" s="2" t="s">
        <v>71</v>
      </c>
      <c r="K87" s="2" t="s">
        <v>301</v>
      </c>
      <c r="L87" s="2" t="s">
        <v>73</v>
      </c>
      <c r="M87" s="2" t="s">
        <v>30</v>
      </c>
      <c r="N87" s="2" t="s">
        <v>31</v>
      </c>
      <c r="R87" s="2" t="s">
        <v>39</v>
      </c>
      <c r="S87" s="2" t="s">
        <v>40</v>
      </c>
      <c r="T87" s="2" t="s">
        <v>25</v>
      </c>
      <c r="U87" s="2" t="s">
        <v>41</v>
      </c>
      <c r="W87" s="2">
        <v>19371476969</v>
      </c>
    </row>
    <row r="88" spans="1:23" hidden="1" x14ac:dyDescent="0.2">
      <c r="A88" s="4">
        <v>46126</v>
      </c>
      <c r="B88" s="2" t="s">
        <v>42</v>
      </c>
      <c r="C88" s="2" t="s">
        <v>190</v>
      </c>
      <c r="D88" s="5">
        <v>105.5</v>
      </c>
      <c r="E88" s="5" t="s">
        <v>25</v>
      </c>
      <c r="F88" s="5">
        <v>31062.49</v>
      </c>
      <c r="G88" s="2" t="s">
        <v>35</v>
      </c>
      <c r="H88" s="4">
        <v>46126</v>
      </c>
      <c r="I88" s="2">
        <v>1776154009</v>
      </c>
      <c r="J88" s="2" t="s">
        <v>44</v>
      </c>
      <c r="K88" s="2" t="s">
        <v>191</v>
      </c>
      <c r="L88" s="2" t="s">
        <v>46</v>
      </c>
      <c r="M88" s="2" t="s">
        <v>30</v>
      </c>
      <c r="N88" s="2" t="s">
        <v>31</v>
      </c>
      <c r="R88" s="2" t="s">
        <v>39</v>
      </c>
      <c r="S88" s="2" t="s">
        <v>40</v>
      </c>
      <c r="T88" s="2" t="s">
        <v>25</v>
      </c>
      <c r="U88" s="2" t="s">
        <v>41</v>
      </c>
      <c r="W88" s="2">
        <v>19371477145</v>
      </c>
    </row>
    <row r="89" spans="1:23" hidden="1" x14ac:dyDescent="0.2">
      <c r="A89" s="4">
        <v>46126</v>
      </c>
      <c r="B89" s="2" t="s">
        <v>42</v>
      </c>
      <c r="C89" s="2" t="s">
        <v>195</v>
      </c>
      <c r="D89" s="5">
        <v>76.7</v>
      </c>
      <c r="E89" s="5" t="s">
        <v>25</v>
      </c>
      <c r="F89" s="5">
        <v>30985.79</v>
      </c>
      <c r="G89" s="2" t="s">
        <v>35</v>
      </c>
      <c r="H89" s="4">
        <v>46126</v>
      </c>
      <c r="I89" s="2">
        <v>1776154042</v>
      </c>
      <c r="J89" s="2" t="s">
        <v>196</v>
      </c>
      <c r="K89" s="2" t="s">
        <v>197</v>
      </c>
      <c r="L89" s="2" t="s">
        <v>198</v>
      </c>
      <c r="M89" s="2" t="s">
        <v>30</v>
      </c>
      <c r="N89" s="2" t="s">
        <v>31</v>
      </c>
      <c r="R89" s="2" t="s">
        <v>39</v>
      </c>
      <c r="S89" s="2" t="s">
        <v>40</v>
      </c>
      <c r="T89" s="2" t="s">
        <v>25</v>
      </c>
      <c r="U89" s="2" t="s">
        <v>41</v>
      </c>
      <c r="W89" s="2">
        <v>19371477235</v>
      </c>
    </row>
    <row r="90" spans="1:23" hidden="1" x14ac:dyDescent="0.2">
      <c r="A90" s="4">
        <v>46126</v>
      </c>
      <c r="B90" s="2" t="s">
        <v>319</v>
      </c>
      <c r="C90" s="2" t="s">
        <v>320</v>
      </c>
      <c r="D90" s="5">
        <v>1000</v>
      </c>
      <c r="E90" s="5" t="s">
        <v>25</v>
      </c>
      <c r="F90" s="5">
        <v>29985.79</v>
      </c>
      <c r="G90" s="2" t="s">
        <v>35</v>
      </c>
      <c r="H90" s="4">
        <v>46126</v>
      </c>
      <c r="I90" s="2">
        <v>1776154120</v>
      </c>
      <c r="J90" s="2" t="s">
        <v>321</v>
      </c>
      <c r="K90" s="2" t="s">
        <v>322</v>
      </c>
      <c r="L90" s="2" t="s">
        <v>323</v>
      </c>
      <c r="M90" s="2" t="s">
        <v>30</v>
      </c>
      <c r="N90" s="2" t="s">
        <v>31</v>
      </c>
      <c r="R90" s="2" t="s">
        <v>39</v>
      </c>
      <c r="S90" s="2" t="s">
        <v>40</v>
      </c>
      <c r="T90" s="2" t="s">
        <v>25</v>
      </c>
      <c r="U90" s="2" t="s">
        <v>41</v>
      </c>
      <c r="W90" s="2">
        <v>19371477249</v>
      </c>
    </row>
    <row r="91" spans="1:23" hidden="1" x14ac:dyDescent="0.2">
      <c r="A91" s="4">
        <v>46126</v>
      </c>
      <c r="B91" s="2" t="s">
        <v>324</v>
      </c>
      <c r="C91" s="2" t="s">
        <v>325</v>
      </c>
      <c r="D91" s="5">
        <v>35</v>
      </c>
      <c r="E91" s="5" t="s">
        <v>25</v>
      </c>
      <c r="F91" s="5">
        <v>29950.79</v>
      </c>
      <c r="G91" s="2" t="s">
        <v>35</v>
      </c>
      <c r="H91" s="4">
        <v>46126</v>
      </c>
      <c r="I91" s="2">
        <v>1776166235</v>
      </c>
      <c r="J91" s="2" t="s">
        <v>326</v>
      </c>
      <c r="K91" s="2" t="s">
        <v>327</v>
      </c>
      <c r="L91" s="2" t="s">
        <v>328</v>
      </c>
      <c r="M91" s="2" t="s">
        <v>30</v>
      </c>
      <c r="N91" s="2" t="s">
        <v>31</v>
      </c>
      <c r="R91" s="2" t="s">
        <v>39</v>
      </c>
      <c r="S91" s="2" t="s">
        <v>40</v>
      </c>
      <c r="T91" s="2" t="s">
        <v>25</v>
      </c>
      <c r="U91" s="2" t="s">
        <v>41</v>
      </c>
      <c r="W91" s="2">
        <v>19375016003</v>
      </c>
    </row>
    <row r="92" spans="1:23" hidden="1" x14ac:dyDescent="0.2">
      <c r="A92" s="4">
        <v>46126</v>
      </c>
      <c r="B92" s="2" t="s">
        <v>42</v>
      </c>
      <c r="C92" s="2" t="s">
        <v>300</v>
      </c>
      <c r="D92" s="5">
        <v>500</v>
      </c>
      <c r="E92" s="5" t="s">
        <v>25</v>
      </c>
      <c r="F92" s="5">
        <v>29450.79</v>
      </c>
      <c r="G92" s="2" t="s">
        <v>35</v>
      </c>
      <c r="H92" s="4">
        <v>46126</v>
      </c>
      <c r="I92" s="2">
        <v>1776174787</v>
      </c>
      <c r="J92" s="2" t="s">
        <v>71</v>
      </c>
      <c r="K92" s="2" t="s">
        <v>301</v>
      </c>
      <c r="L92" s="2" t="s">
        <v>73</v>
      </c>
      <c r="M92" s="2" t="s">
        <v>30</v>
      </c>
      <c r="N92" s="2" t="s">
        <v>31</v>
      </c>
      <c r="R92" s="2" t="s">
        <v>39</v>
      </c>
      <c r="S92" s="2" t="s">
        <v>40</v>
      </c>
      <c r="T92" s="2" t="s">
        <v>25</v>
      </c>
      <c r="U92" s="2" t="s">
        <v>41</v>
      </c>
      <c r="W92" s="2">
        <v>19375016019</v>
      </c>
    </row>
    <row r="93" spans="1:23" hidden="1" x14ac:dyDescent="0.2">
      <c r="A93" s="4">
        <v>46126</v>
      </c>
      <c r="B93" s="2" t="s">
        <v>329</v>
      </c>
      <c r="C93" s="2" t="s">
        <v>150</v>
      </c>
      <c r="D93" s="5" t="s">
        <v>25</v>
      </c>
      <c r="E93" s="5">
        <v>100</v>
      </c>
      <c r="F93" s="5">
        <v>29550.79</v>
      </c>
      <c r="G93" s="2" t="s">
        <v>26</v>
      </c>
      <c r="H93" s="4">
        <v>46126</v>
      </c>
      <c r="I93" s="2">
        <v>1776190486</v>
      </c>
      <c r="J93" s="2" t="s">
        <v>151</v>
      </c>
      <c r="K93" s="2" t="s">
        <v>152</v>
      </c>
      <c r="L93" s="2" t="s">
        <v>153</v>
      </c>
      <c r="M93" s="2" t="s">
        <v>30</v>
      </c>
      <c r="N93" s="2" t="s">
        <v>31</v>
      </c>
      <c r="R93" s="2" t="s">
        <v>153</v>
      </c>
      <c r="S93" s="2" t="s">
        <v>152</v>
      </c>
      <c r="T93" s="2" t="s">
        <v>25</v>
      </c>
      <c r="U93" s="2" t="s">
        <v>32</v>
      </c>
      <c r="W93" s="2">
        <v>19376297017</v>
      </c>
    </row>
    <row r="94" spans="1:23" hidden="1" x14ac:dyDescent="0.2">
      <c r="A94" s="4">
        <v>46126</v>
      </c>
      <c r="B94" s="2" t="s">
        <v>330</v>
      </c>
      <c r="C94" s="2" t="s">
        <v>190</v>
      </c>
      <c r="D94" s="5">
        <v>63</v>
      </c>
      <c r="E94" s="5" t="s">
        <v>25</v>
      </c>
      <c r="F94" s="5">
        <v>29487.79</v>
      </c>
      <c r="G94" s="2" t="s">
        <v>35</v>
      </c>
      <c r="H94" s="4">
        <v>46126</v>
      </c>
      <c r="I94" s="2">
        <v>1776190025</v>
      </c>
      <c r="J94" s="2" t="s">
        <v>44</v>
      </c>
      <c r="K94" s="2" t="s">
        <v>191</v>
      </c>
      <c r="L94" s="2" t="s">
        <v>46</v>
      </c>
      <c r="M94" s="2" t="s">
        <v>30</v>
      </c>
      <c r="N94" s="2" t="s">
        <v>31</v>
      </c>
      <c r="R94" s="2" t="s">
        <v>39</v>
      </c>
      <c r="S94" s="2" t="s">
        <v>40</v>
      </c>
      <c r="T94" s="2" t="s">
        <v>25</v>
      </c>
      <c r="U94" s="2" t="s">
        <v>41</v>
      </c>
      <c r="W94" s="2">
        <v>19376438893</v>
      </c>
    </row>
    <row r="95" spans="1:23" hidden="1" x14ac:dyDescent="0.2">
      <c r="A95" s="4">
        <v>46126</v>
      </c>
      <c r="B95" s="2" t="s">
        <v>330</v>
      </c>
      <c r="C95" s="2" t="s">
        <v>296</v>
      </c>
      <c r="D95" s="5">
        <v>80.5</v>
      </c>
      <c r="E95" s="5" t="s">
        <v>25</v>
      </c>
      <c r="F95" s="5">
        <v>29407.29</v>
      </c>
      <c r="G95" s="2" t="s">
        <v>35</v>
      </c>
      <c r="H95" s="4">
        <v>46126</v>
      </c>
      <c r="I95" s="2">
        <v>1776190073</v>
      </c>
      <c r="J95" s="2" t="s">
        <v>297</v>
      </c>
      <c r="K95" s="2" t="s">
        <v>298</v>
      </c>
      <c r="L95" s="2" t="s">
        <v>299</v>
      </c>
      <c r="M95" s="2" t="s">
        <v>30</v>
      </c>
      <c r="N95" s="2" t="s">
        <v>31</v>
      </c>
      <c r="R95" s="2" t="s">
        <v>39</v>
      </c>
      <c r="S95" s="2" t="s">
        <v>40</v>
      </c>
      <c r="T95" s="2" t="s">
        <v>25</v>
      </c>
      <c r="U95" s="2" t="s">
        <v>41</v>
      </c>
      <c r="W95" s="2">
        <v>19376438901</v>
      </c>
    </row>
    <row r="96" spans="1:23" x14ac:dyDescent="0.2">
      <c r="A96" s="4">
        <v>46126</v>
      </c>
      <c r="B96" s="2" t="s">
        <v>330</v>
      </c>
      <c r="C96" s="2" t="s">
        <v>290</v>
      </c>
      <c r="D96" s="5">
        <v>57.85</v>
      </c>
      <c r="E96" s="5" t="s">
        <v>25</v>
      </c>
      <c r="F96" s="5">
        <v>29349.439999999999</v>
      </c>
      <c r="G96" s="2" t="s">
        <v>35</v>
      </c>
      <c r="H96" s="4">
        <v>46126</v>
      </c>
      <c r="I96" s="2">
        <v>1776190119</v>
      </c>
      <c r="J96" s="2" t="s">
        <v>291</v>
      </c>
      <c r="K96" s="2" t="s">
        <v>292</v>
      </c>
      <c r="L96" s="2" t="s">
        <v>293</v>
      </c>
      <c r="M96" s="2" t="s">
        <v>30</v>
      </c>
      <c r="N96" s="2" t="s">
        <v>31</v>
      </c>
      <c r="R96" s="2" t="s">
        <v>39</v>
      </c>
      <c r="S96" s="2" t="s">
        <v>40</v>
      </c>
      <c r="T96" s="2" t="s">
        <v>25</v>
      </c>
      <c r="U96" s="2" t="s">
        <v>41</v>
      </c>
      <c r="W96" s="2">
        <v>19376438909</v>
      </c>
    </row>
    <row r="97" spans="1:23" hidden="1" x14ac:dyDescent="0.2">
      <c r="A97" s="4">
        <v>46126</v>
      </c>
      <c r="B97" s="2" t="s">
        <v>330</v>
      </c>
      <c r="C97" s="2" t="s">
        <v>179</v>
      </c>
      <c r="D97" s="5">
        <v>50.01</v>
      </c>
      <c r="E97" s="5" t="s">
        <v>25</v>
      </c>
      <c r="F97" s="5">
        <v>29299.43</v>
      </c>
      <c r="G97" s="2" t="s">
        <v>35</v>
      </c>
      <c r="H97" s="4">
        <v>46126</v>
      </c>
      <c r="I97" s="2">
        <v>1776190156</v>
      </c>
      <c r="J97" s="2" t="s">
        <v>180</v>
      </c>
      <c r="K97" s="2" t="s">
        <v>181</v>
      </c>
      <c r="L97" s="2" t="s">
        <v>153</v>
      </c>
      <c r="M97" s="2" t="s">
        <v>30</v>
      </c>
      <c r="N97" s="2" t="s">
        <v>31</v>
      </c>
      <c r="R97" s="2" t="s">
        <v>39</v>
      </c>
      <c r="S97" s="2" t="s">
        <v>40</v>
      </c>
      <c r="T97" s="2" t="s">
        <v>25</v>
      </c>
      <c r="U97" s="2" t="s">
        <v>41</v>
      </c>
      <c r="W97" s="2">
        <v>19376438959</v>
      </c>
    </row>
    <row r="98" spans="1:23" hidden="1" x14ac:dyDescent="0.2">
      <c r="A98" s="4">
        <v>46126</v>
      </c>
      <c r="B98" s="2" t="s">
        <v>330</v>
      </c>
      <c r="C98" s="2" t="s">
        <v>195</v>
      </c>
      <c r="D98" s="5">
        <v>41.5</v>
      </c>
      <c r="E98" s="5" t="s">
        <v>25</v>
      </c>
      <c r="F98" s="5">
        <v>29257.93</v>
      </c>
      <c r="G98" s="2" t="s">
        <v>35</v>
      </c>
      <c r="H98" s="4">
        <v>46126</v>
      </c>
      <c r="I98" s="2">
        <v>1776190405</v>
      </c>
      <c r="J98" s="2" t="s">
        <v>196</v>
      </c>
      <c r="K98" s="2" t="s">
        <v>197</v>
      </c>
      <c r="L98" s="2" t="s">
        <v>198</v>
      </c>
      <c r="M98" s="2" t="s">
        <v>30</v>
      </c>
      <c r="N98" s="2" t="s">
        <v>31</v>
      </c>
      <c r="R98" s="2" t="s">
        <v>39</v>
      </c>
      <c r="S98" s="2" t="s">
        <v>40</v>
      </c>
      <c r="T98" s="2" t="s">
        <v>25</v>
      </c>
      <c r="U98" s="2" t="s">
        <v>41</v>
      </c>
      <c r="W98" s="2">
        <v>19376438989</v>
      </c>
    </row>
    <row r="99" spans="1:23" hidden="1" x14ac:dyDescent="0.2">
      <c r="A99" s="4">
        <v>46126</v>
      </c>
      <c r="B99" s="2" t="s">
        <v>330</v>
      </c>
      <c r="C99" s="2" t="s">
        <v>300</v>
      </c>
      <c r="D99" s="5">
        <v>39.56</v>
      </c>
      <c r="E99" s="5" t="s">
        <v>25</v>
      </c>
      <c r="F99" s="5">
        <v>29218.37</v>
      </c>
      <c r="G99" s="2" t="s">
        <v>35</v>
      </c>
      <c r="H99" s="4">
        <v>46126</v>
      </c>
      <c r="I99" s="2">
        <v>1776190436</v>
      </c>
      <c r="J99" s="2" t="s">
        <v>71</v>
      </c>
      <c r="K99" s="2" t="s">
        <v>301</v>
      </c>
      <c r="L99" s="2" t="s">
        <v>73</v>
      </c>
      <c r="M99" s="2" t="s">
        <v>30</v>
      </c>
      <c r="N99" s="2" t="s">
        <v>31</v>
      </c>
      <c r="R99" s="2" t="s">
        <v>39</v>
      </c>
      <c r="S99" s="2" t="s">
        <v>40</v>
      </c>
      <c r="T99" s="2" t="s">
        <v>25</v>
      </c>
      <c r="U99" s="2" t="s">
        <v>41</v>
      </c>
      <c r="W99" s="2">
        <v>19376439033</v>
      </c>
    </row>
    <row r="100" spans="1:23" hidden="1" x14ac:dyDescent="0.2">
      <c r="A100" s="4">
        <v>46126</v>
      </c>
      <c r="B100" s="2" t="s">
        <v>330</v>
      </c>
      <c r="C100" s="2" t="s">
        <v>294</v>
      </c>
      <c r="D100" s="5">
        <v>32.799999999999997</v>
      </c>
      <c r="E100" s="5" t="s">
        <v>25</v>
      </c>
      <c r="F100" s="5">
        <v>29185.57</v>
      </c>
      <c r="G100" s="2" t="s">
        <v>35</v>
      </c>
      <c r="H100" s="4">
        <v>46126</v>
      </c>
      <c r="I100" s="2">
        <v>1776190463</v>
      </c>
      <c r="J100" s="2" t="s">
        <v>66</v>
      </c>
      <c r="K100" s="2" t="s">
        <v>295</v>
      </c>
      <c r="L100" s="2" t="s">
        <v>68</v>
      </c>
      <c r="M100" s="2" t="s">
        <v>30</v>
      </c>
      <c r="N100" s="2" t="s">
        <v>31</v>
      </c>
      <c r="R100" s="2" t="s">
        <v>39</v>
      </c>
      <c r="S100" s="2" t="s">
        <v>40</v>
      </c>
      <c r="T100" s="2" t="s">
        <v>25</v>
      </c>
      <c r="U100" s="2" t="s">
        <v>41</v>
      </c>
      <c r="W100" s="2">
        <v>19376439045</v>
      </c>
    </row>
    <row r="101" spans="1:23" hidden="1" x14ac:dyDescent="0.2">
      <c r="A101" s="4">
        <v>46126</v>
      </c>
      <c r="B101" s="2" t="s">
        <v>330</v>
      </c>
      <c r="C101" s="2" t="s">
        <v>331</v>
      </c>
      <c r="D101" s="5">
        <v>7.12</v>
      </c>
      <c r="E101" s="5" t="s">
        <v>25</v>
      </c>
      <c r="F101" s="5">
        <v>29178.45</v>
      </c>
      <c r="G101" s="2" t="s">
        <v>35</v>
      </c>
      <c r="H101" s="4">
        <v>46126</v>
      </c>
      <c r="I101" s="2">
        <v>1776190480</v>
      </c>
      <c r="J101" s="2" t="s">
        <v>332</v>
      </c>
      <c r="K101" s="2" t="s">
        <v>333</v>
      </c>
      <c r="L101" s="2" t="s">
        <v>334</v>
      </c>
      <c r="M101" s="2" t="s">
        <v>30</v>
      </c>
      <c r="N101" s="2" t="s">
        <v>31</v>
      </c>
      <c r="R101" s="2" t="s">
        <v>39</v>
      </c>
      <c r="S101" s="2" t="s">
        <v>40</v>
      </c>
      <c r="T101" s="2" t="s">
        <v>25</v>
      </c>
      <c r="U101" s="2" t="s">
        <v>41</v>
      </c>
      <c r="W101" s="2">
        <v>19376439047</v>
      </c>
    </row>
    <row r="102" spans="1:23" hidden="1" x14ac:dyDescent="0.2">
      <c r="A102" s="4">
        <v>46126</v>
      </c>
      <c r="B102" s="2" t="s">
        <v>335</v>
      </c>
      <c r="C102" s="2" t="s">
        <v>65</v>
      </c>
      <c r="D102" s="5" t="s">
        <v>25</v>
      </c>
      <c r="E102" s="5">
        <v>134</v>
      </c>
      <c r="F102" s="5">
        <v>29312.45</v>
      </c>
      <c r="G102" s="2" t="s">
        <v>26</v>
      </c>
      <c r="H102" s="4">
        <v>46126</v>
      </c>
      <c r="I102" s="2">
        <v>1776193115</v>
      </c>
      <c r="J102" s="2" t="s">
        <v>66</v>
      </c>
      <c r="K102" s="2" t="s">
        <v>67</v>
      </c>
      <c r="L102" s="2" t="s">
        <v>68</v>
      </c>
      <c r="M102" s="2" t="s">
        <v>30</v>
      </c>
      <c r="N102" s="2" t="s">
        <v>31</v>
      </c>
      <c r="R102" s="2" t="s">
        <v>68</v>
      </c>
      <c r="S102" s="2" t="s">
        <v>67</v>
      </c>
      <c r="T102" s="2" t="s">
        <v>25</v>
      </c>
      <c r="U102" s="2" t="s">
        <v>32</v>
      </c>
      <c r="W102" s="2">
        <v>19376467305</v>
      </c>
    </row>
    <row r="103" spans="1:23" hidden="1" x14ac:dyDescent="0.2">
      <c r="A103" s="4">
        <v>46127</v>
      </c>
      <c r="B103" s="2" t="s">
        <v>330</v>
      </c>
      <c r="C103" s="2" t="s">
        <v>336</v>
      </c>
      <c r="D103" s="5">
        <v>89.5</v>
      </c>
      <c r="E103" s="5" t="s">
        <v>25</v>
      </c>
      <c r="F103" s="5">
        <v>29222.95</v>
      </c>
      <c r="G103" s="2" t="s">
        <v>35</v>
      </c>
      <c r="H103" s="4">
        <v>46126</v>
      </c>
      <c r="I103" s="2">
        <v>1776189944</v>
      </c>
      <c r="J103" s="2" t="s">
        <v>337</v>
      </c>
      <c r="K103" s="2" t="s">
        <v>338</v>
      </c>
      <c r="L103" s="2" t="s">
        <v>25</v>
      </c>
      <c r="M103" s="2" t="s">
        <v>92</v>
      </c>
      <c r="N103" s="2" t="s">
        <v>93</v>
      </c>
      <c r="R103" s="2" t="s">
        <v>39</v>
      </c>
      <c r="S103" s="2" t="s">
        <v>40</v>
      </c>
      <c r="T103" s="2" t="s">
        <v>25</v>
      </c>
      <c r="U103" s="2" t="s">
        <v>185</v>
      </c>
      <c r="W103" s="2">
        <v>19376438879</v>
      </c>
    </row>
    <row r="104" spans="1:23" hidden="1" x14ac:dyDescent="0.2">
      <c r="A104" s="4">
        <v>46127</v>
      </c>
      <c r="B104" s="2" t="s">
        <v>186</v>
      </c>
      <c r="C104" s="2" t="s">
        <v>187</v>
      </c>
      <c r="D104" s="5">
        <v>1</v>
      </c>
      <c r="E104" s="5" t="s">
        <v>25</v>
      </c>
      <c r="F104" s="5">
        <v>29221.95</v>
      </c>
      <c r="G104" s="2" t="s">
        <v>49</v>
      </c>
      <c r="H104" s="4">
        <v>46127</v>
      </c>
      <c r="I104" s="2">
        <v>1776189944</v>
      </c>
      <c r="J104" s="2" t="s">
        <v>188</v>
      </c>
      <c r="K104" s="2" t="s">
        <v>189</v>
      </c>
      <c r="L104" s="2" t="s">
        <v>25</v>
      </c>
      <c r="M104" s="2" t="s">
        <v>30</v>
      </c>
      <c r="N104" s="2" t="s">
        <v>52</v>
      </c>
      <c r="T104" s="2" t="s">
        <v>25</v>
      </c>
      <c r="U104" s="2" t="s">
        <v>185</v>
      </c>
      <c r="W104" s="2">
        <v>19376438880</v>
      </c>
    </row>
    <row r="105" spans="1:23" hidden="1" x14ac:dyDescent="0.2">
      <c r="A105" s="4">
        <v>46127</v>
      </c>
      <c r="B105" s="2" t="s">
        <v>330</v>
      </c>
      <c r="C105" s="2" t="s">
        <v>182</v>
      </c>
      <c r="D105" s="5">
        <v>60.8</v>
      </c>
      <c r="E105" s="5" t="s">
        <v>25</v>
      </c>
      <c r="F105" s="5">
        <v>29161.15</v>
      </c>
      <c r="G105" s="2" t="s">
        <v>35</v>
      </c>
      <c r="H105" s="4">
        <v>46126</v>
      </c>
      <c r="I105" s="2">
        <v>1776190098</v>
      </c>
      <c r="J105" s="2" t="s">
        <v>183</v>
      </c>
      <c r="K105" s="2" t="s">
        <v>184</v>
      </c>
      <c r="L105" s="2" t="s">
        <v>25</v>
      </c>
      <c r="M105" s="2" t="s">
        <v>92</v>
      </c>
      <c r="N105" s="2" t="s">
        <v>93</v>
      </c>
      <c r="R105" s="2" t="s">
        <v>39</v>
      </c>
      <c r="S105" s="2" t="s">
        <v>40</v>
      </c>
      <c r="T105" s="2" t="s">
        <v>25</v>
      </c>
      <c r="U105" s="2" t="s">
        <v>185</v>
      </c>
      <c r="W105" s="2">
        <v>19376438907</v>
      </c>
    </row>
    <row r="106" spans="1:23" hidden="1" x14ac:dyDescent="0.2">
      <c r="A106" s="4">
        <v>46127</v>
      </c>
      <c r="B106" s="2" t="s">
        <v>186</v>
      </c>
      <c r="C106" s="2" t="s">
        <v>187</v>
      </c>
      <c r="D106" s="5">
        <v>1</v>
      </c>
      <c r="E106" s="5" t="s">
        <v>25</v>
      </c>
      <c r="F106" s="5">
        <v>29160.15</v>
      </c>
      <c r="G106" s="2" t="s">
        <v>49</v>
      </c>
      <c r="H106" s="4">
        <v>46127</v>
      </c>
      <c r="I106" s="2">
        <v>1776190098</v>
      </c>
      <c r="J106" s="2" t="s">
        <v>188</v>
      </c>
      <c r="K106" s="2" t="s">
        <v>189</v>
      </c>
      <c r="L106" s="2" t="s">
        <v>25</v>
      </c>
      <c r="M106" s="2" t="s">
        <v>30</v>
      </c>
      <c r="N106" s="2" t="s">
        <v>52</v>
      </c>
      <c r="T106" s="2" t="s">
        <v>25</v>
      </c>
      <c r="U106" s="2" t="s">
        <v>185</v>
      </c>
      <c r="W106" s="2">
        <v>19376438908</v>
      </c>
    </row>
    <row r="107" spans="1:23" hidden="1" x14ac:dyDescent="0.2">
      <c r="A107" s="4">
        <v>46127</v>
      </c>
      <c r="B107" s="2" t="s">
        <v>330</v>
      </c>
      <c r="C107" s="2" t="s">
        <v>192</v>
      </c>
      <c r="D107" s="5">
        <v>43.01</v>
      </c>
      <c r="E107" s="5" t="s">
        <v>25</v>
      </c>
      <c r="F107" s="5">
        <v>29117.14</v>
      </c>
      <c r="G107" s="2" t="s">
        <v>35</v>
      </c>
      <c r="H107" s="4">
        <v>46126</v>
      </c>
      <c r="I107" s="2">
        <v>1776190368</v>
      </c>
      <c r="J107" s="2" t="s">
        <v>193</v>
      </c>
      <c r="K107" s="2" t="s">
        <v>194</v>
      </c>
      <c r="L107" s="2" t="s">
        <v>25</v>
      </c>
      <c r="M107" s="2" t="s">
        <v>92</v>
      </c>
      <c r="N107" s="2" t="s">
        <v>93</v>
      </c>
      <c r="R107" s="2" t="s">
        <v>39</v>
      </c>
      <c r="S107" s="2" t="s">
        <v>40</v>
      </c>
      <c r="T107" s="2" t="s">
        <v>25</v>
      </c>
      <c r="U107" s="2" t="s">
        <v>185</v>
      </c>
      <c r="W107" s="2">
        <v>19376438977</v>
      </c>
    </row>
    <row r="108" spans="1:23" hidden="1" x14ac:dyDescent="0.2">
      <c r="A108" s="4">
        <v>46127</v>
      </c>
      <c r="B108" s="2" t="s">
        <v>186</v>
      </c>
      <c r="C108" s="2" t="s">
        <v>187</v>
      </c>
      <c r="D108" s="5">
        <v>1</v>
      </c>
      <c r="E108" s="5" t="s">
        <v>25</v>
      </c>
      <c r="F108" s="5">
        <v>29116.14</v>
      </c>
      <c r="G108" s="2" t="s">
        <v>49</v>
      </c>
      <c r="H108" s="4">
        <v>46127</v>
      </c>
      <c r="I108" s="2">
        <v>1776190368</v>
      </c>
      <c r="J108" s="2" t="s">
        <v>188</v>
      </c>
      <c r="K108" s="2" t="s">
        <v>189</v>
      </c>
      <c r="L108" s="2" t="s">
        <v>25</v>
      </c>
      <c r="M108" s="2" t="s">
        <v>30</v>
      </c>
      <c r="N108" s="2" t="s">
        <v>52</v>
      </c>
      <c r="T108" s="2" t="s">
        <v>25</v>
      </c>
      <c r="U108" s="2" t="s">
        <v>185</v>
      </c>
      <c r="W108" s="2">
        <v>19376438978</v>
      </c>
    </row>
    <row r="109" spans="1:23" hidden="1" x14ac:dyDescent="0.2">
      <c r="A109" s="4">
        <v>46127</v>
      </c>
      <c r="B109" s="2" t="s">
        <v>42</v>
      </c>
      <c r="C109" s="2" t="s">
        <v>179</v>
      </c>
      <c r="D109" s="5">
        <v>40</v>
      </c>
      <c r="E109" s="5" t="s">
        <v>25</v>
      </c>
      <c r="F109" s="5">
        <v>29076.14</v>
      </c>
      <c r="G109" s="2" t="s">
        <v>35</v>
      </c>
      <c r="H109" s="4">
        <v>46127</v>
      </c>
      <c r="I109" s="2">
        <v>1776238222</v>
      </c>
      <c r="J109" s="2" t="s">
        <v>180</v>
      </c>
      <c r="K109" s="2" t="s">
        <v>181</v>
      </c>
      <c r="L109" s="2" t="s">
        <v>153</v>
      </c>
      <c r="M109" s="2" t="s">
        <v>30</v>
      </c>
      <c r="N109" s="2" t="s">
        <v>31</v>
      </c>
      <c r="R109" s="2" t="s">
        <v>39</v>
      </c>
      <c r="S109" s="2" t="s">
        <v>40</v>
      </c>
      <c r="T109" s="2" t="s">
        <v>25</v>
      </c>
      <c r="U109" s="2" t="s">
        <v>41</v>
      </c>
      <c r="W109" s="2">
        <v>19380292782</v>
      </c>
    </row>
    <row r="110" spans="1:23" hidden="1" x14ac:dyDescent="0.2">
      <c r="A110" s="4">
        <v>46127</v>
      </c>
      <c r="B110" s="2" t="s">
        <v>23</v>
      </c>
      <c r="C110" s="2" t="s">
        <v>24</v>
      </c>
      <c r="D110" s="5" t="s">
        <v>25</v>
      </c>
      <c r="E110" s="5">
        <v>85</v>
      </c>
      <c r="F110" s="5">
        <v>29161.14</v>
      </c>
      <c r="G110" s="2" t="s">
        <v>26</v>
      </c>
      <c r="H110" s="4">
        <v>46127</v>
      </c>
      <c r="I110" s="2">
        <v>1776252227</v>
      </c>
      <c r="J110" s="2" t="s">
        <v>27</v>
      </c>
      <c r="K110" s="2" t="s">
        <v>28</v>
      </c>
      <c r="L110" s="2" t="s">
        <v>29</v>
      </c>
      <c r="M110" s="2" t="s">
        <v>30</v>
      </c>
      <c r="N110" s="2" t="s">
        <v>31</v>
      </c>
      <c r="R110" s="2" t="s">
        <v>29</v>
      </c>
      <c r="S110" s="2" t="s">
        <v>28</v>
      </c>
      <c r="T110" s="2" t="s">
        <v>25</v>
      </c>
      <c r="U110" s="2" t="s">
        <v>32</v>
      </c>
      <c r="W110" s="2">
        <v>19384292100</v>
      </c>
    </row>
    <row r="111" spans="1:23" hidden="1" x14ac:dyDescent="0.2">
      <c r="A111" s="4">
        <v>46127</v>
      </c>
      <c r="B111" s="2" t="s">
        <v>339</v>
      </c>
      <c r="C111" s="2" t="s">
        <v>340</v>
      </c>
      <c r="D111" s="5">
        <v>16489.05</v>
      </c>
      <c r="E111" s="5" t="s">
        <v>25</v>
      </c>
      <c r="F111" s="5">
        <v>12672.09</v>
      </c>
      <c r="G111" s="2" t="s">
        <v>341</v>
      </c>
      <c r="H111" s="4">
        <v>46127</v>
      </c>
      <c r="I111" s="2">
        <v>1776254102</v>
      </c>
      <c r="J111" s="2" t="s">
        <v>342</v>
      </c>
      <c r="K111" s="2" t="s">
        <v>343</v>
      </c>
      <c r="L111" s="2" t="s">
        <v>25</v>
      </c>
      <c r="M111" s="2" t="s">
        <v>344</v>
      </c>
      <c r="N111" s="2" t="s">
        <v>345</v>
      </c>
      <c r="R111" s="2" t="s">
        <v>39</v>
      </c>
      <c r="S111" s="2" t="s">
        <v>40</v>
      </c>
      <c r="T111" s="2" t="s">
        <v>342</v>
      </c>
      <c r="U111" s="2" t="s">
        <v>346</v>
      </c>
      <c r="V111" s="2" t="s">
        <v>347</v>
      </c>
      <c r="W111" s="2">
        <v>19385325856</v>
      </c>
    </row>
    <row r="112" spans="1:23" hidden="1" x14ac:dyDescent="0.2">
      <c r="A112" s="4">
        <v>46127</v>
      </c>
      <c r="B112" s="2" t="s">
        <v>186</v>
      </c>
      <c r="C112" s="2" t="s">
        <v>187</v>
      </c>
      <c r="D112" s="5">
        <v>10</v>
      </c>
      <c r="E112" s="5" t="s">
        <v>25</v>
      </c>
      <c r="F112" s="5">
        <v>12662.09</v>
      </c>
      <c r="G112" s="2" t="s">
        <v>49</v>
      </c>
      <c r="H112" s="4">
        <v>46127</v>
      </c>
      <c r="I112" s="2">
        <v>1776254102</v>
      </c>
      <c r="J112" s="2" t="s">
        <v>188</v>
      </c>
      <c r="K112" s="2" t="s">
        <v>189</v>
      </c>
      <c r="L112" s="2" t="s">
        <v>25</v>
      </c>
      <c r="M112" s="2" t="s">
        <v>30</v>
      </c>
      <c r="N112" s="2" t="s">
        <v>52</v>
      </c>
      <c r="T112" s="2" t="s">
        <v>25</v>
      </c>
      <c r="U112" s="2" t="s">
        <v>346</v>
      </c>
      <c r="W112" s="2">
        <v>19385325857</v>
      </c>
    </row>
    <row r="113" spans="1:23" hidden="1" x14ac:dyDescent="0.2">
      <c r="A113" s="4">
        <v>46127</v>
      </c>
      <c r="B113" s="2" t="s">
        <v>348</v>
      </c>
      <c r="C113" s="2" t="s">
        <v>349</v>
      </c>
      <c r="D113" s="5">
        <v>265</v>
      </c>
      <c r="E113" s="5" t="s">
        <v>25</v>
      </c>
      <c r="F113" s="5">
        <v>12397.09</v>
      </c>
      <c r="G113" s="2" t="s">
        <v>35</v>
      </c>
      <c r="H113" s="4">
        <v>46127</v>
      </c>
      <c r="I113" s="2">
        <v>1776254542</v>
      </c>
      <c r="J113" s="2" t="s">
        <v>350</v>
      </c>
      <c r="K113" s="2" t="s">
        <v>351</v>
      </c>
      <c r="L113" s="2" t="s">
        <v>352</v>
      </c>
      <c r="M113" s="2" t="s">
        <v>30</v>
      </c>
      <c r="N113" s="2" t="s">
        <v>31</v>
      </c>
      <c r="R113" s="2" t="s">
        <v>39</v>
      </c>
      <c r="S113" s="2" t="s">
        <v>40</v>
      </c>
      <c r="T113" s="2" t="s">
        <v>25</v>
      </c>
      <c r="U113" s="2" t="s">
        <v>41</v>
      </c>
      <c r="W113" s="2">
        <v>19385325876</v>
      </c>
    </row>
    <row r="114" spans="1:23" hidden="1" x14ac:dyDescent="0.2">
      <c r="A114" s="4">
        <v>46127</v>
      </c>
      <c r="B114" s="2" t="s">
        <v>353</v>
      </c>
      <c r="C114" s="2" t="s">
        <v>34</v>
      </c>
      <c r="D114" s="5">
        <v>460.6</v>
      </c>
      <c r="E114" s="5" t="s">
        <v>25</v>
      </c>
      <c r="F114" s="5">
        <v>11936.49</v>
      </c>
      <c r="G114" s="2" t="s">
        <v>35</v>
      </c>
      <c r="H114" s="4">
        <v>46127</v>
      </c>
      <c r="I114" s="2">
        <v>1776256327</v>
      </c>
      <c r="J114" s="2" t="s">
        <v>36</v>
      </c>
      <c r="K114" s="2" t="s">
        <v>37</v>
      </c>
      <c r="L114" s="2" t="s">
        <v>38</v>
      </c>
      <c r="M114" s="2" t="s">
        <v>30</v>
      </c>
      <c r="N114" s="2" t="s">
        <v>31</v>
      </c>
      <c r="R114" s="2" t="s">
        <v>39</v>
      </c>
      <c r="S114" s="2" t="s">
        <v>40</v>
      </c>
      <c r="T114" s="2" t="s">
        <v>25</v>
      </c>
      <c r="U114" s="2" t="s">
        <v>41</v>
      </c>
      <c r="W114" s="2">
        <v>19385325998</v>
      </c>
    </row>
    <row r="115" spans="1:23" hidden="1" x14ac:dyDescent="0.2">
      <c r="A115" s="4">
        <v>46127</v>
      </c>
      <c r="B115" s="2" t="s">
        <v>330</v>
      </c>
      <c r="C115" s="2" t="s">
        <v>43</v>
      </c>
      <c r="D115" s="5" t="s">
        <v>25</v>
      </c>
      <c r="E115" s="5">
        <v>100</v>
      </c>
      <c r="F115" s="5">
        <v>12036.49</v>
      </c>
      <c r="G115" s="2" t="s">
        <v>26</v>
      </c>
      <c r="H115" s="4">
        <v>46127</v>
      </c>
      <c r="I115" s="2">
        <v>1776257584</v>
      </c>
      <c r="J115" s="2" t="s">
        <v>44</v>
      </c>
      <c r="K115" s="2" t="s">
        <v>45</v>
      </c>
      <c r="L115" s="2" t="s">
        <v>46</v>
      </c>
      <c r="M115" s="2" t="s">
        <v>30</v>
      </c>
      <c r="N115" s="2" t="s">
        <v>31</v>
      </c>
      <c r="R115" s="2" t="s">
        <v>46</v>
      </c>
      <c r="S115" s="2" t="s">
        <v>45</v>
      </c>
      <c r="T115" s="2" t="s">
        <v>25</v>
      </c>
      <c r="U115" s="2" t="s">
        <v>32</v>
      </c>
      <c r="W115" s="2">
        <v>19385512868</v>
      </c>
    </row>
    <row r="116" spans="1:23" hidden="1" x14ac:dyDescent="0.2">
      <c r="A116" s="4">
        <v>46127</v>
      </c>
      <c r="B116" s="2" t="s">
        <v>348</v>
      </c>
      <c r="C116" s="2" t="s">
        <v>349</v>
      </c>
      <c r="D116" s="5">
        <v>5</v>
      </c>
      <c r="E116" s="5" t="s">
        <v>25</v>
      </c>
      <c r="F116" s="5">
        <v>12031.49</v>
      </c>
      <c r="G116" s="2" t="s">
        <v>35</v>
      </c>
      <c r="H116" s="4">
        <v>46127</v>
      </c>
      <c r="I116" s="2">
        <v>1776260711</v>
      </c>
      <c r="J116" s="2" t="s">
        <v>350</v>
      </c>
      <c r="K116" s="2" t="s">
        <v>351</v>
      </c>
      <c r="L116" s="2" t="s">
        <v>352</v>
      </c>
      <c r="M116" s="2" t="s">
        <v>30</v>
      </c>
      <c r="N116" s="2" t="s">
        <v>31</v>
      </c>
      <c r="R116" s="2" t="s">
        <v>39</v>
      </c>
      <c r="S116" s="2" t="s">
        <v>40</v>
      </c>
      <c r="T116" s="2" t="s">
        <v>25</v>
      </c>
      <c r="U116" s="2" t="s">
        <v>41</v>
      </c>
      <c r="W116" s="2">
        <v>19386049600</v>
      </c>
    </row>
    <row r="117" spans="1:23" hidden="1" x14ac:dyDescent="0.2">
      <c r="A117" s="4">
        <v>46127</v>
      </c>
      <c r="B117" s="2" t="s">
        <v>330</v>
      </c>
      <c r="C117" s="2" t="s">
        <v>43</v>
      </c>
      <c r="D117" s="5" t="s">
        <v>25</v>
      </c>
      <c r="E117" s="5">
        <v>180</v>
      </c>
      <c r="F117" s="5">
        <v>12211.49</v>
      </c>
      <c r="G117" s="2" t="s">
        <v>26</v>
      </c>
      <c r="H117" s="4">
        <v>46127</v>
      </c>
      <c r="I117" s="2">
        <v>1776281798</v>
      </c>
      <c r="J117" s="2" t="s">
        <v>44</v>
      </c>
      <c r="K117" s="2" t="s">
        <v>45</v>
      </c>
      <c r="L117" s="2" t="s">
        <v>46</v>
      </c>
      <c r="M117" s="2" t="s">
        <v>30</v>
      </c>
      <c r="N117" s="2" t="s">
        <v>31</v>
      </c>
      <c r="R117" s="2" t="s">
        <v>46</v>
      </c>
      <c r="S117" s="2" t="s">
        <v>45</v>
      </c>
      <c r="T117" s="2" t="s">
        <v>25</v>
      </c>
      <c r="U117" s="2" t="s">
        <v>32</v>
      </c>
      <c r="W117" s="2">
        <v>19388167531</v>
      </c>
    </row>
    <row r="118" spans="1:23" hidden="1" x14ac:dyDescent="0.2">
      <c r="A118" s="4">
        <v>46128</v>
      </c>
      <c r="B118" s="2" t="s">
        <v>23</v>
      </c>
      <c r="C118" s="2" t="s">
        <v>24</v>
      </c>
      <c r="D118" s="5" t="s">
        <v>25</v>
      </c>
      <c r="E118" s="5">
        <v>27</v>
      </c>
      <c r="F118" s="5">
        <v>12238.49</v>
      </c>
      <c r="G118" s="2" t="s">
        <v>26</v>
      </c>
      <c r="H118" s="4">
        <v>46128</v>
      </c>
      <c r="I118" s="2">
        <v>1776340835</v>
      </c>
      <c r="J118" s="2" t="s">
        <v>27</v>
      </c>
      <c r="K118" s="2" t="s">
        <v>28</v>
      </c>
      <c r="L118" s="2" t="s">
        <v>29</v>
      </c>
      <c r="M118" s="2" t="s">
        <v>30</v>
      </c>
      <c r="N118" s="2" t="s">
        <v>31</v>
      </c>
      <c r="R118" s="2" t="s">
        <v>29</v>
      </c>
      <c r="S118" s="2" t="s">
        <v>28</v>
      </c>
      <c r="T118" s="2" t="s">
        <v>25</v>
      </c>
      <c r="U118" s="2" t="s">
        <v>32</v>
      </c>
      <c r="W118" s="2">
        <v>19396570420</v>
      </c>
    </row>
    <row r="119" spans="1:23" hidden="1" x14ac:dyDescent="0.2">
      <c r="A119" s="4">
        <v>46128</v>
      </c>
      <c r="B119" s="2" t="s">
        <v>354</v>
      </c>
      <c r="C119" s="2" t="s">
        <v>278</v>
      </c>
      <c r="D119" s="5" t="s">
        <v>25</v>
      </c>
      <c r="E119" s="5">
        <v>3137.03</v>
      </c>
      <c r="F119" s="5">
        <v>15375.52</v>
      </c>
      <c r="G119" s="2" t="s">
        <v>26</v>
      </c>
      <c r="H119" s="4">
        <v>46128</v>
      </c>
      <c r="I119" s="2">
        <v>1776345927</v>
      </c>
      <c r="J119" s="2" t="s">
        <v>279</v>
      </c>
      <c r="K119" s="2" t="s">
        <v>280</v>
      </c>
      <c r="L119" s="2" t="s">
        <v>281</v>
      </c>
      <c r="M119" s="2" t="s">
        <v>30</v>
      </c>
      <c r="N119" s="2" t="s">
        <v>31</v>
      </c>
      <c r="R119" s="2" t="s">
        <v>281</v>
      </c>
      <c r="S119" s="2" t="s">
        <v>280</v>
      </c>
      <c r="T119" s="2" t="s">
        <v>25</v>
      </c>
      <c r="U119" s="2" t="s">
        <v>41</v>
      </c>
      <c r="W119" s="2">
        <v>19397557584</v>
      </c>
    </row>
    <row r="120" spans="1:23" x14ac:dyDescent="0.2">
      <c r="A120" s="4">
        <v>46128</v>
      </c>
      <c r="B120" s="2" t="s">
        <v>355</v>
      </c>
      <c r="C120" s="2" t="s">
        <v>315</v>
      </c>
      <c r="D120" s="5" t="s">
        <v>25</v>
      </c>
      <c r="E120" s="5">
        <v>27</v>
      </c>
      <c r="F120" s="5">
        <v>15402.52</v>
      </c>
      <c r="G120" s="2" t="s">
        <v>26</v>
      </c>
      <c r="H120" s="4">
        <v>46128</v>
      </c>
      <c r="I120" s="2">
        <v>1776347399</v>
      </c>
      <c r="J120" s="2" t="s">
        <v>291</v>
      </c>
      <c r="K120" s="2" t="s">
        <v>316</v>
      </c>
      <c r="L120" s="2" t="s">
        <v>293</v>
      </c>
      <c r="M120" s="2" t="s">
        <v>30</v>
      </c>
      <c r="N120" s="2" t="s">
        <v>31</v>
      </c>
      <c r="R120" s="2" t="s">
        <v>293</v>
      </c>
      <c r="S120" s="2" t="s">
        <v>316</v>
      </c>
      <c r="T120" s="2" t="s">
        <v>25</v>
      </c>
      <c r="U120" s="2" t="s">
        <v>32</v>
      </c>
      <c r="W120" s="2">
        <v>19397748782</v>
      </c>
    </row>
    <row r="121" spans="1:23" hidden="1" x14ac:dyDescent="0.2">
      <c r="A121" s="4">
        <v>46129</v>
      </c>
      <c r="B121" s="2" t="s">
        <v>356</v>
      </c>
      <c r="C121" s="2" t="s">
        <v>150</v>
      </c>
      <c r="D121" s="5" t="s">
        <v>25</v>
      </c>
      <c r="E121" s="5">
        <v>169</v>
      </c>
      <c r="F121" s="5">
        <v>15571.52</v>
      </c>
      <c r="G121" s="2" t="s">
        <v>26</v>
      </c>
      <c r="H121" s="4">
        <v>46129</v>
      </c>
      <c r="I121" s="2">
        <v>1776396095</v>
      </c>
      <c r="J121" s="2" t="s">
        <v>151</v>
      </c>
      <c r="K121" s="2" t="s">
        <v>152</v>
      </c>
      <c r="L121" s="2" t="s">
        <v>153</v>
      </c>
      <c r="M121" s="2" t="s">
        <v>30</v>
      </c>
      <c r="N121" s="2" t="s">
        <v>31</v>
      </c>
      <c r="R121" s="2" t="s">
        <v>153</v>
      </c>
      <c r="S121" s="2" t="s">
        <v>152</v>
      </c>
      <c r="T121" s="2" t="s">
        <v>25</v>
      </c>
      <c r="U121" s="2" t="s">
        <v>32</v>
      </c>
      <c r="W121" s="2">
        <v>19400195226</v>
      </c>
    </row>
    <row r="122" spans="1:23" hidden="1" x14ac:dyDescent="0.2">
      <c r="A122" s="4">
        <v>46129</v>
      </c>
      <c r="B122" s="2" t="s">
        <v>357</v>
      </c>
      <c r="C122" s="2" t="s">
        <v>358</v>
      </c>
      <c r="D122" s="5" t="s">
        <v>25</v>
      </c>
      <c r="E122" s="5">
        <v>792.96</v>
      </c>
      <c r="F122" s="5">
        <v>16364.48</v>
      </c>
      <c r="G122" s="2" t="s">
        <v>26</v>
      </c>
      <c r="H122" s="4">
        <v>46128</v>
      </c>
      <c r="I122" s="2">
        <v>2021</v>
      </c>
      <c r="J122" s="2" t="s">
        <v>359</v>
      </c>
      <c r="K122" s="2" t="s">
        <v>360</v>
      </c>
      <c r="L122" s="2" t="s">
        <v>361</v>
      </c>
      <c r="M122" s="2" t="s">
        <v>92</v>
      </c>
      <c r="N122" s="2" t="s">
        <v>93</v>
      </c>
      <c r="R122" s="2" t="s">
        <v>361</v>
      </c>
      <c r="S122" s="2" t="s">
        <v>362</v>
      </c>
      <c r="T122" s="2" t="s">
        <v>25</v>
      </c>
      <c r="U122" s="2" t="s">
        <v>81</v>
      </c>
      <c r="V122" s="2" t="s">
        <v>363</v>
      </c>
      <c r="W122" s="2">
        <v>19400687201</v>
      </c>
    </row>
    <row r="123" spans="1:23" hidden="1" x14ac:dyDescent="0.2">
      <c r="A123" s="4">
        <v>46129</v>
      </c>
      <c r="B123" s="2" t="s">
        <v>364</v>
      </c>
      <c r="C123" s="2" t="s">
        <v>163</v>
      </c>
      <c r="D123" s="5" t="s">
        <v>25</v>
      </c>
      <c r="E123" s="5">
        <v>295.54000000000002</v>
      </c>
      <c r="F123" s="5">
        <v>16660.02</v>
      </c>
      <c r="G123" s="2" t="s">
        <v>26</v>
      </c>
      <c r="H123" s="4">
        <v>46129</v>
      </c>
      <c r="I123" s="2">
        <v>1776412506</v>
      </c>
      <c r="J123" s="2" t="s">
        <v>84</v>
      </c>
      <c r="K123" s="2" t="s">
        <v>164</v>
      </c>
      <c r="L123" s="2" t="s">
        <v>86</v>
      </c>
      <c r="M123" s="2" t="s">
        <v>30</v>
      </c>
      <c r="N123" s="2" t="s">
        <v>31</v>
      </c>
      <c r="R123" s="2" t="s">
        <v>86</v>
      </c>
      <c r="S123" s="2" t="s">
        <v>164</v>
      </c>
      <c r="T123" s="2" t="s">
        <v>25</v>
      </c>
      <c r="U123" s="2" t="s">
        <v>41</v>
      </c>
      <c r="W123" s="2">
        <v>19401956545</v>
      </c>
    </row>
    <row r="124" spans="1:23" hidden="1" x14ac:dyDescent="0.2">
      <c r="A124" s="4">
        <v>46129</v>
      </c>
      <c r="B124" s="2" t="s">
        <v>165</v>
      </c>
      <c r="C124" s="2" t="s">
        <v>365</v>
      </c>
      <c r="D124" s="5" t="s">
        <v>25</v>
      </c>
      <c r="E124" s="5">
        <v>153.4</v>
      </c>
      <c r="F124" s="5">
        <v>16813.419999999998</v>
      </c>
      <c r="G124" s="2" t="s">
        <v>26</v>
      </c>
      <c r="H124" s="4">
        <v>46129</v>
      </c>
      <c r="I124" s="2">
        <v>1776417092</v>
      </c>
      <c r="J124" s="2" t="s">
        <v>366</v>
      </c>
      <c r="K124" s="2" t="s">
        <v>367</v>
      </c>
      <c r="L124" s="2" t="s">
        <v>368</v>
      </c>
      <c r="M124" s="2" t="s">
        <v>30</v>
      </c>
      <c r="N124" s="2" t="s">
        <v>31</v>
      </c>
      <c r="R124" s="2" t="s">
        <v>368</v>
      </c>
      <c r="S124" s="2" t="s">
        <v>367</v>
      </c>
      <c r="T124" s="2" t="s">
        <v>25</v>
      </c>
      <c r="U124" s="2" t="s">
        <v>32</v>
      </c>
      <c r="W124" s="2">
        <v>19403117761</v>
      </c>
    </row>
    <row r="125" spans="1:23" hidden="1" x14ac:dyDescent="0.2">
      <c r="A125" s="4">
        <v>46129</v>
      </c>
      <c r="B125" s="2" t="s">
        <v>59</v>
      </c>
      <c r="C125" s="2" t="s">
        <v>369</v>
      </c>
      <c r="D125" s="5" t="s">
        <v>25</v>
      </c>
      <c r="E125" s="5">
        <v>14823.16</v>
      </c>
      <c r="F125" s="5">
        <v>31636.58</v>
      </c>
      <c r="G125" s="2" t="s">
        <v>26</v>
      </c>
      <c r="H125" s="4">
        <v>46129</v>
      </c>
      <c r="I125" s="2">
        <v>1776418389</v>
      </c>
      <c r="J125" s="2" t="s">
        <v>370</v>
      </c>
      <c r="K125" s="2" t="s">
        <v>371</v>
      </c>
      <c r="L125" s="2" t="s">
        <v>372</v>
      </c>
      <c r="M125" s="2" t="s">
        <v>30</v>
      </c>
      <c r="N125" s="2" t="s">
        <v>31</v>
      </c>
      <c r="R125" s="2" t="s">
        <v>372</v>
      </c>
      <c r="S125" s="2" t="s">
        <v>371</v>
      </c>
      <c r="T125" s="2" t="s">
        <v>25</v>
      </c>
      <c r="U125" s="2" t="s">
        <v>41</v>
      </c>
      <c r="W125" s="2">
        <v>19404379919</v>
      </c>
    </row>
    <row r="126" spans="1:23" hidden="1" x14ac:dyDescent="0.2">
      <c r="A126" s="4">
        <v>46130</v>
      </c>
      <c r="B126" s="2" t="s">
        <v>373</v>
      </c>
      <c r="C126" s="2" t="s">
        <v>65</v>
      </c>
      <c r="D126" s="5" t="s">
        <v>25</v>
      </c>
      <c r="E126" s="5">
        <v>60</v>
      </c>
      <c r="F126" s="5">
        <v>31696.58</v>
      </c>
      <c r="G126" s="2" t="s">
        <v>26</v>
      </c>
      <c r="H126" s="4">
        <v>46130</v>
      </c>
      <c r="I126" s="2">
        <v>1776510767</v>
      </c>
      <c r="J126" s="2" t="s">
        <v>66</v>
      </c>
      <c r="K126" s="2" t="s">
        <v>67</v>
      </c>
      <c r="L126" s="2" t="s">
        <v>68</v>
      </c>
      <c r="M126" s="2" t="s">
        <v>30</v>
      </c>
      <c r="N126" s="2" t="s">
        <v>31</v>
      </c>
      <c r="R126" s="2" t="s">
        <v>68</v>
      </c>
      <c r="S126" s="2" t="s">
        <v>67</v>
      </c>
      <c r="T126" s="2" t="s">
        <v>25</v>
      </c>
      <c r="U126" s="2" t="s">
        <v>32</v>
      </c>
      <c r="W126" s="2">
        <v>19417019200</v>
      </c>
    </row>
    <row r="127" spans="1:23" hidden="1" x14ac:dyDescent="0.2">
      <c r="A127" s="4">
        <v>46130</v>
      </c>
      <c r="B127" s="2" t="s">
        <v>374</v>
      </c>
      <c r="C127" s="2" t="s">
        <v>231</v>
      </c>
      <c r="D127" s="5" t="s">
        <v>25</v>
      </c>
      <c r="E127" s="5">
        <v>45</v>
      </c>
      <c r="F127" s="5">
        <v>31741.58</v>
      </c>
      <c r="G127" s="2" t="s">
        <v>26</v>
      </c>
      <c r="H127" s="4">
        <v>46130</v>
      </c>
      <c r="I127" s="2">
        <v>1776526980</v>
      </c>
      <c r="J127" s="2" t="s">
        <v>196</v>
      </c>
      <c r="K127" s="2" t="s">
        <v>232</v>
      </c>
      <c r="L127" s="2" t="s">
        <v>198</v>
      </c>
      <c r="M127" s="2" t="s">
        <v>30</v>
      </c>
      <c r="N127" s="2" t="s">
        <v>31</v>
      </c>
      <c r="R127" s="2" t="s">
        <v>198</v>
      </c>
      <c r="S127" s="2" t="s">
        <v>232</v>
      </c>
      <c r="T127" s="2" t="s">
        <v>25</v>
      </c>
      <c r="U127" s="2" t="s">
        <v>32</v>
      </c>
      <c r="W127" s="2">
        <v>19419636128</v>
      </c>
    </row>
    <row r="128" spans="1:23" hidden="1" x14ac:dyDescent="0.2">
      <c r="A128" s="4">
        <v>46132</v>
      </c>
      <c r="B128" s="2" t="s">
        <v>375</v>
      </c>
      <c r="C128" s="2" t="s">
        <v>65</v>
      </c>
      <c r="D128" s="5" t="s">
        <v>25</v>
      </c>
      <c r="E128" s="5">
        <v>49</v>
      </c>
      <c r="F128" s="5">
        <v>31790.58</v>
      </c>
      <c r="G128" s="2" t="s">
        <v>26</v>
      </c>
      <c r="H128" s="4">
        <v>46132</v>
      </c>
      <c r="I128" s="2">
        <v>1776711168</v>
      </c>
      <c r="J128" s="2" t="s">
        <v>66</v>
      </c>
      <c r="K128" s="2" t="s">
        <v>67</v>
      </c>
      <c r="L128" s="2" t="s">
        <v>68</v>
      </c>
      <c r="M128" s="2" t="s">
        <v>30</v>
      </c>
      <c r="N128" s="2" t="s">
        <v>31</v>
      </c>
      <c r="R128" s="2" t="s">
        <v>68</v>
      </c>
      <c r="S128" s="2" t="s">
        <v>67</v>
      </c>
      <c r="T128" s="2" t="s">
        <v>25</v>
      </c>
      <c r="U128" s="2" t="s">
        <v>32</v>
      </c>
      <c r="W128" s="2">
        <v>19441760511</v>
      </c>
    </row>
    <row r="129" spans="1:23" x14ac:dyDescent="0.2">
      <c r="A129" s="4">
        <v>46132</v>
      </c>
      <c r="B129" s="2" t="s">
        <v>376</v>
      </c>
      <c r="C129" s="2" t="s">
        <v>315</v>
      </c>
      <c r="D129" s="5" t="s">
        <v>25</v>
      </c>
      <c r="E129" s="5">
        <v>74</v>
      </c>
      <c r="F129" s="5">
        <v>31864.58</v>
      </c>
      <c r="G129" s="2" t="s">
        <v>26</v>
      </c>
      <c r="H129" s="4">
        <v>46132</v>
      </c>
      <c r="I129" s="2">
        <v>1776711847</v>
      </c>
      <c r="J129" s="2" t="s">
        <v>291</v>
      </c>
      <c r="K129" s="2" t="s">
        <v>316</v>
      </c>
      <c r="L129" s="2" t="s">
        <v>293</v>
      </c>
      <c r="M129" s="2" t="s">
        <v>30</v>
      </c>
      <c r="N129" s="2" t="s">
        <v>31</v>
      </c>
      <c r="R129" s="2" t="s">
        <v>293</v>
      </c>
      <c r="S129" s="2" t="s">
        <v>316</v>
      </c>
      <c r="T129" s="2" t="s">
        <v>25</v>
      </c>
      <c r="U129" s="2" t="s">
        <v>32</v>
      </c>
      <c r="W129" s="2">
        <v>19441788999</v>
      </c>
    </row>
    <row r="130" spans="1:23" hidden="1" x14ac:dyDescent="0.2">
      <c r="A130" s="4">
        <v>46132</v>
      </c>
      <c r="B130" s="2" t="s">
        <v>377</v>
      </c>
      <c r="C130" s="2" t="s">
        <v>378</v>
      </c>
      <c r="D130" s="5" t="s">
        <v>25</v>
      </c>
      <c r="E130" s="5">
        <v>168</v>
      </c>
      <c r="F130" s="5">
        <v>32032.58</v>
      </c>
      <c r="G130" s="2" t="s">
        <v>26</v>
      </c>
      <c r="H130" s="4">
        <v>46132</v>
      </c>
      <c r="I130" s="2">
        <v>1776712058</v>
      </c>
      <c r="J130" s="2" t="s">
        <v>379</v>
      </c>
      <c r="K130" s="2" t="s">
        <v>380</v>
      </c>
      <c r="L130" s="2" t="s">
        <v>381</v>
      </c>
      <c r="M130" s="2" t="s">
        <v>30</v>
      </c>
      <c r="N130" s="2" t="s">
        <v>31</v>
      </c>
      <c r="R130" s="2" t="s">
        <v>381</v>
      </c>
      <c r="S130" s="2" t="s">
        <v>380</v>
      </c>
      <c r="T130" s="2" t="s">
        <v>25</v>
      </c>
      <c r="U130" s="2" t="s">
        <v>32</v>
      </c>
      <c r="W130" s="2">
        <v>19441796072</v>
      </c>
    </row>
    <row r="131" spans="1:23" hidden="1" x14ac:dyDescent="0.2">
      <c r="A131" s="4">
        <v>46132</v>
      </c>
      <c r="B131" s="2" t="s">
        <v>382</v>
      </c>
      <c r="C131" s="2" t="s">
        <v>231</v>
      </c>
      <c r="D131" s="5" t="s">
        <v>25</v>
      </c>
      <c r="E131" s="5">
        <v>100</v>
      </c>
      <c r="F131" s="5">
        <v>32132.58</v>
      </c>
      <c r="G131" s="2" t="s">
        <v>26</v>
      </c>
      <c r="H131" s="4">
        <v>46132</v>
      </c>
      <c r="I131" s="2">
        <v>1776713288</v>
      </c>
      <c r="J131" s="2" t="s">
        <v>196</v>
      </c>
      <c r="K131" s="2" t="s">
        <v>232</v>
      </c>
      <c r="L131" s="2" t="s">
        <v>198</v>
      </c>
      <c r="M131" s="2" t="s">
        <v>30</v>
      </c>
      <c r="N131" s="2" t="s">
        <v>31</v>
      </c>
      <c r="R131" s="2" t="s">
        <v>198</v>
      </c>
      <c r="S131" s="2" t="s">
        <v>232</v>
      </c>
      <c r="T131" s="2" t="s">
        <v>25</v>
      </c>
      <c r="U131" s="2" t="s">
        <v>32</v>
      </c>
      <c r="W131" s="2">
        <v>19441846758</v>
      </c>
    </row>
    <row r="132" spans="1:23" hidden="1" x14ac:dyDescent="0.2">
      <c r="A132" s="4">
        <v>46133</v>
      </c>
      <c r="B132" s="2" t="s">
        <v>383</v>
      </c>
      <c r="C132" s="2" t="s">
        <v>384</v>
      </c>
      <c r="D132" s="5">
        <v>69.400000000000006</v>
      </c>
      <c r="E132" s="5" t="s">
        <v>25</v>
      </c>
      <c r="F132" s="5">
        <v>32063.18</v>
      </c>
      <c r="G132" s="2" t="s">
        <v>385</v>
      </c>
      <c r="H132" s="4">
        <v>46133</v>
      </c>
      <c r="I132" s="2">
        <v>61010244</v>
      </c>
      <c r="J132" s="2" t="s">
        <v>386</v>
      </c>
      <c r="K132" s="2" t="s">
        <v>387</v>
      </c>
      <c r="L132" s="2" t="s">
        <v>25</v>
      </c>
      <c r="M132" s="2" t="s">
        <v>30</v>
      </c>
      <c r="N132" s="2" t="s">
        <v>31</v>
      </c>
      <c r="R132" s="2" t="s">
        <v>39</v>
      </c>
      <c r="S132" s="2" t="s">
        <v>40</v>
      </c>
      <c r="T132" s="2" t="s">
        <v>25</v>
      </c>
      <c r="U132" s="2" t="s">
        <v>388</v>
      </c>
      <c r="V132" s="2" t="s">
        <v>389</v>
      </c>
      <c r="W132" s="2">
        <v>19442973455</v>
      </c>
    </row>
    <row r="133" spans="1:23" hidden="1" x14ac:dyDescent="0.2">
      <c r="A133" s="4">
        <v>46133</v>
      </c>
      <c r="B133" s="2" t="s">
        <v>390</v>
      </c>
      <c r="C133" s="2" t="s">
        <v>384</v>
      </c>
      <c r="D133" s="5">
        <v>0.5</v>
      </c>
      <c r="E133" s="5" t="s">
        <v>25</v>
      </c>
      <c r="F133" s="5">
        <v>32062.68</v>
      </c>
      <c r="G133" s="2" t="s">
        <v>385</v>
      </c>
      <c r="H133" s="4">
        <v>46133</v>
      </c>
      <c r="I133" s="2">
        <v>33940269</v>
      </c>
      <c r="J133" s="2" t="s">
        <v>386</v>
      </c>
      <c r="K133" s="2" t="s">
        <v>387</v>
      </c>
      <c r="L133" s="2" t="s">
        <v>25</v>
      </c>
      <c r="M133" s="2" t="s">
        <v>30</v>
      </c>
      <c r="N133" s="2" t="s">
        <v>52</v>
      </c>
      <c r="T133" s="2" t="s">
        <v>25</v>
      </c>
      <c r="U133" s="2" t="s">
        <v>391</v>
      </c>
      <c r="W133" s="2">
        <v>19442973456</v>
      </c>
    </row>
    <row r="134" spans="1:23" hidden="1" x14ac:dyDescent="0.2">
      <c r="A134" s="4">
        <v>46133</v>
      </c>
      <c r="B134" s="2" t="s">
        <v>392</v>
      </c>
      <c r="C134" s="2" t="s">
        <v>384</v>
      </c>
      <c r="D134" s="5">
        <v>121.22</v>
      </c>
      <c r="E134" s="5" t="s">
        <v>25</v>
      </c>
      <c r="F134" s="5">
        <v>31941.46</v>
      </c>
      <c r="G134" s="2" t="s">
        <v>385</v>
      </c>
      <c r="H134" s="4">
        <v>46133</v>
      </c>
      <c r="I134" s="2">
        <v>61010245</v>
      </c>
      <c r="J134" s="2" t="s">
        <v>386</v>
      </c>
      <c r="K134" s="2" t="s">
        <v>387</v>
      </c>
      <c r="L134" s="2" t="s">
        <v>25</v>
      </c>
      <c r="M134" s="2" t="s">
        <v>30</v>
      </c>
      <c r="N134" s="2" t="s">
        <v>31</v>
      </c>
      <c r="R134" s="2" t="s">
        <v>39</v>
      </c>
      <c r="S134" s="2" t="s">
        <v>40</v>
      </c>
      <c r="T134" s="2" t="s">
        <v>25</v>
      </c>
      <c r="U134" s="2" t="s">
        <v>388</v>
      </c>
      <c r="V134" s="2" t="s">
        <v>393</v>
      </c>
      <c r="W134" s="2">
        <v>19442973457</v>
      </c>
    </row>
    <row r="135" spans="1:23" hidden="1" x14ac:dyDescent="0.2">
      <c r="A135" s="4">
        <v>46133</v>
      </c>
      <c r="B135" s="2" t="s">
        <v>394</v>
      </c>
      <c r="C135" s="2" t="s">
        <v>384</v>
      </c>
      <c r="D135" s="5">
        <v>0.5</v>
      </c>
      <c r="E135" s="5" t="s">
        <v>25</v>
      </c>
      <c r="F135" s="5">
        <v>31940.959999999999</v>
      </c>
      <c r="G135" s="2" t="s">
        <v>385</v>
      </c>
      <c r="H135" s="4">
        <v>46133</v>
      </c>
      <c r="I135" s="2">
        <v>33940270</v>
      </c>
      <c r="J135" s="2" t="s">
        <v>386</v>
      </c>
      <c r="K135" s="2" t="s">
        <v>387</v>
      </c>
      <c r="L135" s="2" t="s">
        <v>25</v>
      </c>
      <c r="M135" s="2" t="s">
        <v>30</v>
      </c>
      <c r="N135" s="2" t="s">
        <v>52</v>
      </c>
      <c r="T135" s="2" t="s">
        <v>25</v>
      </c>
      <c r="U135" s="2" t="s">
        <v>391</v>
      </c>
      <c r="W135" s="2">
        <v>19442973458</v>
      </c>
    </row>
    <row r="136" spans="1:23" hidden="1" x14ac:dyDescent="0.2">
      <c r="A136" s="4">
        <v>46133</v>
      </c>
      <c r="B136" s="2" t="s">
        <v>395</v>
      </c>
      <c r="C136" s="2" t="s">
        <v>384</v>
      </c>
      <c r="D136" s="5">
        <v>27.13</v>
      </c>
      <c r="E136" s="5" t="s">
        <v>25</v>
      </c>
      <c r="F136" s="5">
        <v>31913.83</v>
      </c>
      <c r="G136" s="2" t="s">
        <v>385</v>
      </c>
      <c r="H136" s="4">
        <v>46133</v>
      </c>
      <c r="I136" s="2">
        <v>61010246</v>
      </c>
      <c r="J136" s="2" t="s">
        <v>386</v>
      </c>
      <c r="K136" s="2" t="s">
        <v>387</v>
      </c>
      <c r="L136" s="2" t="s">
        <v>25</v>
      </c>
      <c r="M136" s="2" t="s">
        <v>30</v>
      </c>
      <c r="N136" s="2" t="s">
        <v>31</v>
      </c>
      <c r="R136" s="2" t="s">
        <v>39</v>
      </c>
      <c r="S136" s="2" t="s">
        <v>40</v>
      </c>
      <c r="T136" s="2" t="s">
        <v>25</v>
      </c>
      <c r="U136" s="2" t="s">
        <v>388</v>
      </c>
      <c r="V136" s="2" t="s">
        <v>396</v>
      </c>
      <c r="W136" s="2">
        <v>19442973459</v>
      </c>
    </row>
    <row r="137" spans="1:23" hidden="1" x14ac:dyDescent="0.2">
      <c r="A137" s="4">
        <v>46133</v>
      </c>
      <c r="B137" s="2" t="s">
        <v>397</v>
      </c>
      <c r="C137" s="2" t="s">
        <v>384</v>
      </c>
      <c r="D137" s="5">
        <v>0.5</v>
      </c>
      <c r="E137" s="5" t="s">
        <v>25</v>
      </c>
      <c r="F137" s="5">
        <v>31913.33</v>
      </c>
      <c r="G137" s="2" t="s">
        <v>385</v>
      </c>
      <c r="H137" s="4">
        <v>46133</v>
      </c>
      <c r="I137" s="2">
        <v>33940271</v>
      </c>
      <c r="J137" s="2" t="s">
        <v>386</v>
      </c>
      <c r="K137" s="2" t="s">
        <v>387</v>
      </c>
      <c r="L137" s="2" t="s">
        <v>25</v>
      </c>
      <c r="M137" s="2" t="s">
        <v>30</v>
      </c>
      <c r="N137" s="2" t="s">
        <v>52</v>
      </c>
      <c r="T137" s="2" t="s">
        <v>25</v>
      </c>
      <c r="U137" s="2" t="s">
        <v>391</v>
      </c>
      <c r="W137" s="2">
        <v>19442973460</v>
      </c>
    </row>
    <row r="138" spans="1:23" hidden="1" x14ac:dyDescent="0.2">
      <c r="A138" s="4">
        <v>46133</v>
      </c>
      <c r="B138" s="2" t="s">
        <v>302</v>
      </c>
      <c r="C138" s="2" t="s">
        <v>398</v>
      </c>
      <c r="D138" s="5">
        <v>8000</v>
      </c>
      <c r="E138" s="5" t="s">
        <v>25</v>
      </c>
      <c r="F138" s="5">
        <v>23913.33</v>
      </c>
      <c r="G138" s="2" t="s">
        <v>304</v>
      </c>
      <c r="H138" s="4">
        <v>46133</v>
      </c>
      <c r="I138" s="2">
        <v>1776778716</v>
      </c>
      <c r="J138" s="2" t="s">
        <v>305</v>
      </c>
      <c r="K138" s="2" t="s">
        <v>399</v>
      </c>
      <c r="L138" s="2" t="s">
        <v>39</v>
      </c>
      <c r="M138" s="2" t="s">
        <v>30</v>
      </c>
      <c r="N138" s="2" t="s">
        <v>31</v>
      </c>
      <c r="R138" s="2" t="s">
        <v>39</v>
      </c>
      <c r="S138" s="2" t="s">
        <v>40</v>
      </c>
      <c r="T138" s="2" t="s">
        <v>25</v>
      </c>
      <c r="U138" s="2" t="s">
        <v>306</v>
      </c>
      <c r="W138" s="2">
        <v>19451564067</v>
      </c>
    </row>
    <row r="139" spans="1:23" hidden="1" x14ac:dyDescent="0.2">
      <c r="A139" s="4">
        <v>46133</v>
      </c>
      <c r="B139" s="2" t="s">
        <v>400</v>
      </c>
      <c r="C139" s="2" t="s">
        <v>401</v>
      </c>
      <c r="D139" s="5">
        <v>160</v>
      </c>
      <c r="E139" s="5" t="s">
        <v>25</v>
      </c>
      <c r="F139" s="5">
        <v>23753.33</v>
      </c>
      <c r="G139" s="2" t="s">
        <v>35</v>
      </c>
      <c r="H139" s="4">
        <v>46133</v>
      </c>
      <c r="I139" s="2">
        <v>1776777749</v>
      </c>
      <c r="J139" s="2" t="s">
        <v>402</v>
      </c>
      <c r="K139" s="2" t="s">
        <v>403</v>
      </c>
      <c r="L139" s="2" t="s">
        <v>404</v>
      </c>
      <c r="M139" s="2" t="s">
        <v>30</v>
      </c>
      <c r="N139" s="2" t="s">
        <v>31</v>
      </c>
      <c r="R139" s="2" t="s">
        <v>39</v>
      </c>
      <c r="S139" s="2" t="s">
        <v>40</v>
      </c>
      <c r="T139" s="2" t="s">
        <v>25</v>
      </c>
      <c r="U139" s="2" t="s">
        <v>41</v>
      </c>
      <c r="W139" s="2">
        <v>19451586437</v>
      </c>
    </row>
    <row r="140" spans="1:23" hidden="1" x14ac:dyDescent="0.2">
      <c r="A140" s="4">
        <v>46133</v>
      </c>
      <c r="B140" s="2" t="s">
        <v>405</v>
      </c>
      <c r="C140" s="2" t="s">
        <v>83</v>
      </c>
      <c r="D140" s="5">
        <v>830</v>
      </c>
      <c r="E140" s="5" t="s">
        <v>25</v>
      </c>
      <c r="F140" s="5">
        <v>22923.33</v>
      </c>
      <c r="G140" s="2" t="s">
        <v>35</v>
      </c>
      <c r="H140" s="4">
        <v>46133</v>
      </c>
      <c r="I140" s="2">
        <v>1776777857</v>
      </c>
      <c r="J140" s="2" t="s">
        <v>84</v>
      </c>
      <c r="K140" s="2" t="s">
        <v>85</v>
      </c>
      <c r="L140" s="2" t="s">
        <v>86</v>
      </c>
      <c r="M140" s="2" t="s">
        <v>30</v>
      </c>
      <c r="N140" s="2" t="s">
        <v>31</v>
      </c>
      <c r="R140" s="2" t="s">
        <v>39</v>
      </c>
      <c r="S140" s="2" t="s">
        <v>40</v>
      </c>
      <c r="T140" s="2" t="s">
        <v>25</v>
      </c>
      <c r="U140" s="2" t="s">
        <v>41</v>
      </c>
      <c r="W140" s="2">
        <v>19451586447</v>
      </c>
    </row>
    <row r="141" spans="1:23" hidden="1" x14ac:dyDescent="0.2">
      <c r="A141" s="4">
        <v>46133</v>
      </c>
      <c r="B141" s="2" t="s">
        <v>42</v>
      </c>
      <c r="C141" s="2" t="s">
        <v>294</v>
      </c>
      <c r="D141" s="5">
        <v>2000</v>
      </c>
      <c r="E141" s="5" t="s">
        <v>25</v>
      </c>
      <c r="F141" s="5">
        <v>20923.330000000002</v>
      </c>
      <c r="G141" s="2" t="s">
        <v>35</v>
      </c>
      <c r="H141" s="4">
        <v>46133</v>
      </c>
      <c r="I141" s="2">
        <v>1776779878</v>
      </c>
      <c r="J141" s="2" t="s">
        <v>66</v>
      </c>
      <c r="K141" s="2" t="s">
        <v>295</v>
      </c>
      <c r="L141" s="2" t="s">
        <v>68</v>
      </c>
      <c r="M141" s="2" t="s">
        <v>30</v>
      </c>
      <c r="N141" s="2" t="s">
        <v>31</v>
      </c>
      <c r="R141" s="2" t="s">
        <v>39</v>
      </c>
      <c r="S141" s="2" t="s">
        <v>40</v>
      </c>
      <c r="T141" s="2" t="s">
        <v>25</v>
      </c>
      <c r="U141" s="2" t="s">
        <v>41</v>
      </c>
      <c r="W141" s="2">
        <v>19451809971</v>
      </c>
    </row>
    <row r="142" spans="1:23" hidden="1" x14ac:dyDescent="0.2">
      <c r="A142" s="4">
        <v>46133</v>
      </c>
      <c r="B142" s="2" t="s">
        <v>42</v>
      </c>
      <c r="C142" s="2" t="s">
        <v>190</v>
      </c>
      <c r="D142" s="5">
        <v>1500</v>
      </c>
      <c r="E142" s="5" t="s">
        <v>25</v>
      </c>
      <c r="F142" s="5">
        <v>19423.330000000002</v>
      </c>
      <c r="G142" s="2" t="s">
        <v>35</v>
      </c>
      <c r="H142" s="4">
        <v>46133</v>
      </c>
      <c r="I142" s="2">
        <v>1776779906</v>
      </c>
      <c r="J142" s="2" t="s">
        <v>44</v>
      </c>
      <c r="K142" s="2" t="s">
        <v>191</v>
      </c>
      <c r="L142" s="2" t="s">
        <v>46</v>
      </c>
      <c r="M142" s="2" t="s">
        <v>30</v>
      </c>
      <c r="N142" s="2" t="s">
        <v>31</v>
      </c>
      <c r="R142" s="2" t="s">
        <v>39</v>
      </c>
      <c r="S142" s="2" t="s">
        <v>40</v>
      </c>
      <c r="T142" s="2" t="s">
        <v>25</v>
      </c>
      <c r="U142" s="2" t="s">
        <v>41</v>
      </c>
      <c r="W142" s="2">
        <v>19451809981</v>
      </c>
    </row>
    <row r="143" spans="1:23" hidden="1" x14ac:dyDescent="0.2">
      <c r="A143" s="4">
        <v>46133</v>
      </c>
      <c r="B143" s="2" t="s">
        <v>42</v>
      </c>
      <c r="C143" s="2" t="s">
        <v>195</v>
      </c>
      <c r="D143" s="5">
        <v>1500</v>
      </c>
      <c r="E143" s="5" t="s">
        <v>25</v>
      </c>
      <c r="F143" s="5">
        <v>17923.330000000002</v>
      </c>
      <c r="G143" s="2" t="s">
        <v>35</v>
      </c>
      <c r="H143" s="4">
        <v>46133</v>
      </c>
      <c r="I143" s="2">
        <v>1776779936</v>
      </c>
      <c r="J143" s="2" t="s">
        <v>196</v>
      </c>
      <c r="K143" s="2" t="s">
        <v>197</v>
      </c>
      <c r="L143" s="2" t="s">
        <v>198</v>
      </c>
      <c r="M143" s="2" t="s">
        <v>30</v>
      </c>
      <c r="N143" s="2" t="s">
        <v>31</v>
      </c>
      <c r="R143" s="2" t="s">
        <v>39</v>
      </c>
      <c r="S143" s="2" t="s">
        <v>40</v>
      </c>
      <c r="T143" s="2" t="s">
        <v>25</v>
      </c>
      <c r="U143" s="2" t="s">
        <v>41</v>
      </c>
      <c r="W143" s="2">
        <v>19451810065</v>
      </c>
    </row>
    <row r="144" spans="1:23" hidden="1" x14ac:dyDescent="0.2">
      <c r="A144" s="4">
        <v>46134</v>
      </c>
      <c r="B144" s="2" t="s">
        <v>406</v>
      </c>
      <c r="C144" s="2" t="s">
        <v>163</v>
      </c>
      <c r="D144" s="5" t="s">
        <v>25</v>
      </c>
      <c r="E144" s="5">
        <v>153.47999999999999</v>
      </c>
      <c r="F144" s="5">
        <v>18076.810000000001</v>
      </c>
      <c r="G144" s="2" t="s">
        <v>26</v>
      </c>
      <c r="H144" s="4">
        <v>46134</v>
      </c>
      <c r="I144" s="2">
        <v>1776836805</v>
      </c>
      <c r="J144" s="2" t="s">
        <v>84</v>
      </c>
      <c r="K144" s="2" t="s">
        <v>164</v>
      </c>
      <c r="L144" s="2" t="s">
        <v>86</v>
      </c>
      <c r="M144" s="2" t="s">
        <v>30</v>
      </c>
      <c r="N144" s="2" t="s">
        <v>31</v>
      </c>
      <c r="R144" s="2" t="s">
        <v>86</v>
      </c>
      <c r="S144" s="2" t="s">
        <v>164</v>
      </c>
      <c r="T144" s="2" t="s">
        <v>25</v>
      </c>
      <c r="U144" s="2" t="s">
        <v>41</v>
      </c>
      <c r="W144" s="2">
        <v>19454426299</v>
      </c>
    </row>
    <row r="145" spans="1:23" x14ac:dyDescent="0.2">
      <c r="A145" s="4">
        <v>46134</v>
      </c>
      <c r="B145" s="2" t="s">
        <v>407</v>
      </c>
      <c r="C145" s="2" t="s">
        <v>315</v>
      </c>
      <c r="D145" s="5" t="s">
        <v>25</v>
      </c>
      <c r="E145" s="5">
        <v>100</v>
      </c>
      <c r="F145" s="5">
        <v>18176.810000000001</v>
      </c>
      <c r="G145" s="2" t="s">
        <v>26</v>
      </c>
      <c r="H145" s="4">
        <v>46134</v>
      </c>
      <c r="I145" s="2">
        <v>1776884052</v>
      </c>
      <c r="J145" s="2" t="s">
        <v>291</v>
      </c>
      <c r="K145" s="2" t="s">
        <v>316</v>
      </c>
      <c r="L145" s="2" t="s">
        <v>293</v>
      </c>
      <c r="M145" s="2" t="s">
        <v>30</v>
      </c>
      <c r="N145" s="2" t="s">
        <v>31</v>
      </c>
      <c r="R145" s="2" t="s">
        <v>293</v>
      </c>
      <c r="S145" s="2" t="s">
        <v>316</v>
      </c>
      <c r="T145" s="2" t="s">
        <v>25</v>
      </c>
      <c r="U145" s="2" t="s">
        <v>32</v>
      </c>
      <c r="W145" s="2">
        <v>19464691043</v>
      </c>
    </row>
    <row r="146" spans="1:23" hidden="1" x14ac:dyDescent="0.2">
      <c r="A146" s="4">
        <v>46135</v>
      </c>
      <c r="B146" s="2" t="s">
        <v>408</v>
      </c>
      <c r="C146" s="2" t="s">
        <v>378</v>
      </c>
      <c r="D146" s="5" t="s">
        <v>25</v>
      </c>
      <c r="E146" s="5">
        <v>72</v>
      </c>
      <c r="F146" s="5">
        <v>18248.810000000001</v>
      </c>
      <c r="G146" s="2" t="s">
        <v>26</v>
      </c>
      <c r="H146" s="4">
        <v>46135</v>
      </c>
      <c r="I146" s="2">
        <v>1776946999</v>
      </c>
      <c r="J146" s="2" t="s">
        <v>379</v>
      </c>
      <c r="K146" s="2" t="s">
        <v>380</v>
      </c>
      <c r="L146" s="2" t="s">
        <v>381</v>
      </c>
      <c r="M146" s="2" t="s">
        <v>30</v>
      </c>
      <c r="N146" s="2" t="s">
        <v>31</v>
      </c>
      <c r="R146" s="2" t="s">
        <v>381</v>
      </c>
      <c r="S146" s="2" t="s">
        <v>380</v>
      </c>
      <c r="T146" s="2" t="s">
        <v>25</v>
      </c>
      <c r="U146" s="2" t="s">
        <v>32</v>
      </c>
      <c r="W146" s="2">
        <v>19472860333</v>
      </c>
    </row>
    <row r="147" spans="1:23" hidden="1" x14ac:dyDescent="0.2">
      <c r="A147" s="4">
        <v>46135</v>
      </c>
      <c r="B147" s="2" t="s">
        <v>409</v>
      </c>
      <c r="C147" s="2" t="s">
        <v>325</v>
      </c>
      <c r="D147" s="5">
        <v>20</v>
      </c>
      <c r="E147" s="5" t="s">
        <v>25</v>
      </c>
      <c r="F147" s="5">
        <v>18228.810000000001</v>
      </c>
      <c r="G147" s="2" t="s">
        <v>35</v>
      </c>
      <c r="H147" s="4">
        <v>46135</v>
      </c>
      <c r="I147" s="2">
        <v>1776946458</v>
      </c>
      <c r="J147" s="2" t="s">
        <v>326</v>
      </c>
      <c r="K147" s="2" t="s">
        <v>327</v>
      </c>
      <c r="L147" s="2" t="s">
        <v>328</v>
      </c>
      <c r="M147" s="2" t="s">
        <v>30</v>
      </c>
      <c r="N147" s="2" t="s">
        <v>31</v>
      </c>
      <c r="R147" s="2" t="s">
        <v>39</v>
      </c>
      <c r="S147" s="2" t="s">
        <v>40</v>
      </c>
      <c r="T147" s="2" t="s">
        <v>25</v>
      </c>
      <c r="U147" s="2" t="s">
        <v>41</v>
      </c>
      <c r="W147" s="2">
        <v>19473435779</v>
      </c>
    </row>
    <row r="148" spans="1:23" hidden="1" x14ac:dyDescent="0.2">
      <c r="A148" s="4">
        <v>46135</v>
      </c>
      <c r="B148" s="2" t="s">
        <v>410</v>
      </c>
      <c r="C148" s="2" t="s">
        <v>411</v>
      </c>
      <c r="D148" s="5">
        <v>40</v>
      </c>
      <c r="E148" s="5" t="s">
        <v>25</v>
      </c>
      <c r="F148" s="5">
        <v>18188.810000000001</v>
      </c>
      <c r="G148" s="2" t="s">
        <v>35</v>
      </c>
      <c r="H148" s="4">
        <v>46135</v>
      </c>
      <c r="I148" s="2">
        <v>1776948556</v>
      </c>
      <c r="J148" s="2" t="s">
        <v>412</v>
      </c>
      <c r="K148" s="2" t="s">
        <v>413</v>
      </c>
      <c r="L148" s="2" t="s">
        <v>414</v>
      </c>
      <c r="M148" s="2" t="s">
        <v>30</v>
      </c>
      <c r="N148" s="2" t="s">
        <v>31</v>
      </c>
      <c r="R148" s="2" t="s">
        <v>39</v>
      </c>
      <c r="S148" s="2" t="s">
        <v>40</v>
      </c>
      <c r="T148" s="2" t="s">
        <v>25</v>
      </c>
      <c r="U148" s="2" t="s">
        <v>41</v>
      </c>
      <c r="W148" s="2">
        <v>19473435809</v>
      </c>
    </row>
    <row r="149" spans="1:23" hidden="1" x14ac:dyDescent="0.2">
      <c r="A149" s="4">
        <v>46135</v>
      </c>
      <c r="B149" s="2" t="s">
        <v>415</v>
      </c>
      <c r="C149" s="2" t="s">
        <v>24</v>
      </c>
      <c r="D149" s="5" t="s">
        <v>25</v>
      </c>
      <c r="E149" s="5">
        <v>40</v>
      </c>
      <c r="F149" s="5">
        <v>18228.810000000001</v>
      </c>
      <c r="G149" s="2" t="s">
        <v>26</v>
      </c>
      <c r="H149" s="4">
        <v>46135</v>
      </c>
      <c r="I149" s="2">
        <v>1776956915</v>
      </c>
      <c r="J149" s="2" t="s">
        <v>27</v>
      </c>
      <c r="K149" s="2" t="s">
        <v>28</v>
      </c>
      <c r="L149" s="2" t="s">
        <v>29</v>
      </c>
      <c r="M149" s="2" t="s">
        <v>30</v>
      </c>
      <c r="N149" s="2" t="s">
        <v>31</v>
      </c>
      <c r="R149" s="2" t="s">
        <v>29</v>
      </c>
      <c r="S149" s="2" t="s">
        <v>28</v>
      </c>
      <c r="T149" s="2" t="s">
        <v>25</v>
      </c>
      <c r="U149" s="2" t="s">
        <v>32</v>
      </c>
      <c r="W149" s="2">
        <v>19474503643</v>
      </c>
    </row>
    <row r="150" spans="1:23" hidden="1" x14ac:dyDescent="0.2">
      <c r="A150" s="4">
        <v>46136</v>
      </c>
      <c r="B150" s="2" t="s">
        <v>416</v>
      </c>
      <c r="C150" s="2" t="s">
        <v>378</v>
      </c>
      <c r="D150" s="5" t="s">
        <v>25</v>
      </c>
      <c r="E150" s="5">
        <v>3</v>
      </c>
      <c r="F150" s="5">
        <v>18231.810000000001</v>
      </c>
      <c r="G150" s="2" t="s">
        <v>26</v>
      </c>
      <c r="H150" s="4">
        <v>46136</v>
      </c>
      <c r="I150" s="2">
        <v>1777031646</v>
      </c>
      <c r="J150" s="2" t="s">
        <v>379</v>
      </c>
      <c r="K150" s="2" t="s">
        <v>380</v>
      </c>
      <c r="L150" s="2" t="s">
        <v>381</v>
      </c>
      <c r="M150" s="2" t="s">
        <v>30</v>
      </c>
      <c r="N150" s="2" t="s">
        <v>31</v>
      </c>
      <c r="R150" s="2" t="s">
        <v>381</v>
      </c>
      <c r="S150" s="2" t="s">
        <v>380</v>
      </c>
      <c r="T150" s="2" t="s">
        <v>25</v>
      </c>
      <c r="U150" s="2" t="s">
        <v>32</v>
      </c>
      <c r="W150" s="2">
        <v>19483993121</v>
      </c>
    </row>
    <row r="151" spans="1:23" hidden="1" x14ac:dyDescent="0.2">
      <c r="A151" s="4">
        <v>46136</v>
      </c>
      <c r="B151" s="2" t="s">
        <v>417</v>
      </c>
      <c r="C151" s="2" t="s">
        <v>231</v>
      </c>
      <c r="D151" s="5" t="s">
        <v>25</v>
      </c>
      <c r="E151" s="5">
        <v>55</v>
      </c>
      <c r="F151" s="5">
        <v>18286.810000000001</v>
      </c>
      <c r="G151" s="2" t="s">
        <v>26</v>
      </c>
      <c r="H151" s="4">
        <v>46136</v>
      </c>
      <c r="I151" s="2">
        <v>1777046755</v>
      </c>
      <c r="J151" s="2" t="s">
        <v>196</v>
      </c>
      <c r="K151" s="2" t="s">
        <v>232</v>
      </c>
      <c r="L151" s="2" t="s">
        <v>198</v>
      </c>
      <c r="M151" s="2" t="s">
        <v>30</v>
      </c>
      <c r="N151" s="2" t="s">
        <v>31</v>
      </c>
      <c r="R151" s="2" t="s">
        <v>198</v>
      </c>
      <c r="S151" s="2" t="s">
        <v>232</v>
      </c>
      <c r="T151" s="2" t="s">
        <v>25</v>
      </c>
      <c r="U151" s="2" t="s">
        <v>32</v>
      </c>
      <c r="W151" s="2">
        <v>19486816369</v>
      </c>
    </row>
    <row r="152" spans="1:23" hidden="1" x14ac:dyDescent="0.2">
      <c r="A152" s="4">
        <v>46136</v>
      </c>
      <c r="B152" s="2" t="s">
        <v>418</v>
      </c>
      <c r="C152" s="2" t="s">
        <v>150</v>
      </c>
      <c r="D152" s="5" t="s">
        <v>25</v>
      </c>
      <c r="E152" s="5">
        <v>60</v>
      </c>
      <c r="F152" s="5">
        <v>18346.810000000001</v>
      </c>
      <c r="G152" s="2" t="s">
        <v>26</v>
      </c>
      <c r="H152" s="4">
        <v>46136</v>
      </c>
      <c r="I152" s="2">
        <v>1777049356</v>
      </c>
      <c r="J152" s="2" t="s">
        <v>151</v>
      </c>
      <c r="K152" s="2" t="s">
        <v>152</v>
      </c>
      <c r="L152" s="2" t="s">
        <v>153</v>
      </c>
      <c r="M152" s="2" t="s">
        <v>30</v>
      </c>
      <c r="N152" s="2" t="s">
        <v>31</v>
      </c>
      <c r="R152" s="2" t="s">
        <v>153</v>
      </c>
      <c r="S152" s="2" t="s">
        <v>152</v>
      </c>
      <c r="T152" s="2" t="s">
        <v>25</v>
      </c>
      <c r="U152" s="2" t="s">
        <v>32</v>
      </c>
      <c r="W152" s="2">
        <v>19487103369</v>
      </c>
    </row>
    <row r="153" spans="1:23" hidden="1" x14ac:dyDescent="0.2">
      <c r="A153" s="4">
        <v>46136</v>
      </c>
      <c r="B153" s="2" t="s">
        <v>419</v>
      </c>
      <c r="C153" s="2" t="s">
        <v>65</v>
      </c>
      <c r="D153" s="5" t="s">
        <v>25</v>
      </c>
      <c r="E153" s="5">
        <v>40</v>
      </c>
      <c r="F153" s="5">
        <v>18386.810000000001</v>
      </c>
      <c r="G153" s="2" t="s">
        <v>26</v>
      </c>
      <c r="H153" s="4">
        <v>46136</v>
      </c>
      <c r="I153" s="2">
        <v>1777051005</v>
      </c>
      <c r="J153" s="2" t="s">
        <v>66</v>
      </c>
      <c r="K153" s="2" t="s">
        <v>67</v>
      </c>
      <c r="L153" s="2" t="s">
        <v>68</v>
      </c>
      <c r="M153" s="2" t="s">
        <v>30</v>
      </c>
      <c r="N153" s="2" t="s">
        <v>31</v>
      </c>
      <c r="R153" s="2" t="s">
        <v>68</v>
      </c>
      <c r="S153" s="2" t="s">
        <v>67</v>
      </c>
      <c r="T153" s="2" t="s">
        <v>25</v>
      </c>
      <c r="U153" s="2" t="s">
        <v>32</v>
      </c>
      <c r="W153" s="2">
        <v>19487265213</v>
      </c>
    </row>
    <row r="154" spans="1:23" hidden="1" x14ac:dyDescent="0.2">
      <c r="A154" s="4">
        <v>46137</v>
      </c>
      <c r="B154" s="2" t="s">
        <v>420</v>
      </c>
      <c r="C154" s="2" t="s">
        <v>421</v>
      </c>
      <c r="D154" s="5">
        <v>1</v>
      </c>
      <c r="E154" s="5" t="s">
        <v>25</v>
      </c>
      <c r="F154" s="5">
        <v>18385.810000000001</v>
      </c>
      <c r="G154" s="2" t="s">
        <v>49</v>
      </c>
      <c r="H154" s="4">
        <v>46137</v>
      </c>
      <c r="I154" s="2">
        <v>40844613</v>
      </c>
      <c r="J154" s="2" t="s">
        <v>422</v>
      </c>
      <c r="K154" s="2" t="s">
        <v>423</v>
      </c>
      <c r="L154" s="2" t="s">
        <v>25</v>
      </c>
      <c r="M154" s="2" t="s">
        <v>30</v>
      </c>
      <c r="N154" s="2" t="s">
        <v>52</v>
      </c>
      <c r="T154" s="2" t="s">
        <v>25</v>
      </c>
      <c r="U154" s="2" t="s">
        <v>424</v>
      </c>
      <c r="W154" s="2">
        <v>19488285018</v>
      </c>
    </row>
    <row r="155" spans="1:23" hidden="1" x14ac:dyDescent="0.2">
      <c r="A155" s="4">
        <v>46137</v>
      </c>
      <c r="B155" s="2" t="s">
        <v>425</v>
      </c>
      <c r="C155" s="2" t="s">
        <v>231</v>
      </c>
      <c r="D155" s="5" t="s">
        <v>25</v>
      </c>
      <c r="E155" s="5">
        <v>230</v>
      </c>
      <c r="F155" s="5">
        <v>18615.810000000001</v>
      </c>
      <c r="G155" s="2" t="s">
        <v>26</v>
      </c>
      <c r="H155" s="4">
        <v>46137</v>
      </c>
      <c r="I155" s="2">
        <v>1777132998</v>
      </c>
      <c r="J155" s="2" t="s">
        <v>196</v>
      </c>
      <c r="K155" s="2" t="s">
        <v>232</v>
      </c>
      <c r="L155" s="2" t="s">
        <v>198</v>
      </c>
      <c r="M155" s="2" t="s">
        <v>30</v>
      </c>
      <c r="N155" s="2" t="s">
        <v>31</v>
      </c>
      <c r="R155" s="2" t="s">
        <v>198</v>
      </c>
      <c r="S155" s="2" t="s">
        <v>232</v>
      </c>
      <c r="T155" s="2" t="s">
        <v>25</v>
      </c>
      <c r="U155" s="2" t="s">
        <v>32</v>
      </c>
      <c r="W155" s="2">
        <v>19498856839</v>
      </c>
    </row>
    <row r="156" spans="1:23" hidden="1" x14ac:dyDescent="0.2">
      <c r="A156" s="4">
        <v>46137</v>
      </c>
      <c r="B156" s="2" t="s">
        <v>426</v>
      </c>
      <c r="C156" s="2" t="s">
        <v>150</v>
      </c>
      <c r="D156" s="5" t="s">
        <v>25</v>
      </c>
      <c r="E156" s="5">
        <v>195</v>
      </c>
      <c r="F156" s="5">
        <v>18810.810000000001</v>
      </c>
      <c r="G156" s="2" t="s">
        <v>26</v>
      </c>
      <c r="H156" s="4">
        <v>46137</v>
      </c>
      <c r="I156" s="2">
        <v>1777137820</v>
      </c>
      <c r="J156" s="2" t="s">
        <v>151</v>
      </c>
      <c r="K156" s="2" t="s">
        <v>152</v>
      </c>
      <c r="L156" s="2" t="s">
        <v>153</v>
      </c>
      <c r="M156" s="2" t="s">
        <v>30</v>
      </c>
      <c r="N156" s="2" t="s">
        <v>31</v>
      </c>
      <c r="R156" s="2" t="s">
        <v>153</v>
      </c>
      <c r="S156" s="2" t="s">
        <v>152</v>
      </c>
      <c r="T156" s="2" t="s">
        <v>25</v>
      </c>
      <c r="U156" s="2" t="s">
        <v>32</v>
      </c>
      <c r="W156" s="2">
        <v>19499321021</v>
      </c>
    </row>
    <row r="157" spans="1:23" hidden="1" x14ac:dyDescent="0.2">
      <c r="A157" s="4">
        <v>46139</v>
      </c>
      <c r="B157" s="2" t="s">
        <v>427</v>
      </c>
      <c r="C157" s="2" t="s">
        <v>34</v>
      </c>
      <c r="D157" s="5">
        <v>263.2</v>
      </c>
      <c r="E157" s="5" t="s">
        <v>25</v>
      </c>
      <c r="F157" s="5">
        <v>18547.61</v>
      </c>
      <c r="G157" s="2" t="s">
        <v>35</v>
      </c>
      <c r="H157" s="4">
        <v>46139</v>
      </c>
      <c r="I157" s="2">
        <v>1777272346</v>
      </c>
      <c r="J157" s="2" t="s">
        <v>36</v>
      </c>
      <c r="K157" s="2" t="s">
        <v>37</v>
      </c>
      <c r="L157" s="2" t="s">
        <v>38</v>
      </c>
      <c r="M157" s="2" t="s">
        <v>30</v>
      </c>
      <c r="N157" s="2" t="s">
        <v>31</v>
      </c>
      <c r="R157" s="2" t="s">
        <v>39</v>
      </c>
      <c r="S157" s="2" t="s">
        <v>40</v>
      </c>
      <c r="T157" s="2" t="s">
        <v>25</v>
      </c>
      <c r="U157" s="2" t="s">
        <v>41</v>
      </c>
      <c r="W157" s="2">
        <v>19512335048</v>
      </c>
    </row>
    <row r="158" spans="1:23" hidden="1" x14ac:dyDescent="0.2">
      <c r="A158" s="4">
        <v>46139</v>
      </c>
      <c r="B158" s="2" t="s">
        <v>42</v>
      </c>
      <c r="C158" s="2" t="s">
        <v>294</v>
      </c>
      <c r="D158" s="5">
        <v>1492.72</v>
      </c>
      <c r="E158" s="5" t="s">
        <v>25</v>
      </c>
      <c r="F158" s="5">
        <v>17054.89</v>
      </c>
      <c r="G158" s="2" t="s">
        <v>35</v>
      </c>
      <c r="H158" s="4">
        <v>46139</v>
      </c>
      <c r="I158" s="2">
        <v>1777272583</v>
      </c>
      <c r="J158" s="2" t="s">
        <v>66</v>
      </c>
      <c r="K158" s="2" t="s">
        <v>295</v>
      </c>
      <c r="L158" s="2" t="s">
        <v>68</v>
      </c>
      <c r="M158" s="2" t="s">
        <v>30</v>
      </c>
      <c r="N158" s="2" t="s">
        <v>31</v>
      </c>
      <c r="R158" s="2" t="s">
        <v>39</v>
      </c>
      <c r="S158" s="2" t="s">
        <v>40</v>
      </c>
      <c r="T158" s="2" t="s">
        <v>25</v>
      </c>
      <c r="U158" s="2" t="s">
        <v>41</v>
      </c>
      <c r="W158" s="2">
        <v>19512335058</v>
      </c>
    </row>
    <row r="159" spans="1:23" hidden="1" x14ac:dyDescent="0.2">
      <c r="A159" s="4">
        <v>46139</v>
      </c>
      <c r="B159" s="2" t="s">
        <v>42</v>
      </c>
      <c r="C159" s="2" t="s">
        <v>300</v>
      </c>
      <c r="D159" s="5">
        <v>622.08000000000004</v>
      </c>
      <c r="E159" s="5" t="s">
        <v>25</v>
      </c>
      <c r="F159" s="5">
        <v>16432.810000000001</v>
      </c>
      <c r="G159" s="2" t="s">
        <v>35</v>
      </c>
      <c r="H159" s="4">
        <v>46139</v>
      </c>
      <c r="I159" s="2">
        <v>1777272611</v>
      </c>
      <c r="J159" s="2" t="s">
        <v>71</v>
      </c>
      <c r="K159" s="2" t="s">
        <v>301</v>
      </c>
      <c r="L159" s="2" t="s">
        <v>73</v>
      </c>
      <c r="M159" s="2" t="s">
        <v>30</v>
      </c>
      <c r="N159" s="2" t="s">
        <v>31</v>
      </c>
      <c r="R159" s="2" t="s">
        <v>39</v>
      </c>
      <c r="S159" s="2" t="s">
        <v>40</v>
      </c>
      <c r="T159" s="2" t="s">
        <v>25</v>
      </c>
      <c r="U159" s="2" t="s">
        <v>41</v>
      </c>
      <c r="W159" s="2">
        <v>19512335204</v>
      </c>
    </row>
    <row r="160" spans="1:23" hidden="1" x14ac:dyDescent="0.2">
      <c r="A160" s="4">
        <v>46139</v>
      </c>
      <c r="B160" s="2" t="s">
        <v>42</v>
      </c>
      <c r="C160" s="2" t="s">
        <v>190</v>
      </c>
      <c r="D160" s="5">
        <v>619.5</v>
      </c>
      <c r="E160" s="5" t="s">
        <v>25</v>
      </c>
      <c r="F160" s="5">
        <v>15813.31</v>
      </c>
      <c r="G160" s="2" t="s">
        <v>35</v>
      </c>
      <c r="H160" s="4">
        <v>46139</v>
      </c>
      <c r="I160" s="2">
        <v>1777272642</v>
      </c>
      <c r="J160" s="2" t="s">
        <v>44</v>
      </c>
      <c r="K160" s="2" t="s">
        <v>191</v>
      </c>
      <c r="L160" s="2" t="s">
        <v>46</v>
      </c>
      <c r="M160" s="2" t="s">
        <v>30</v>
      </c>
      <c r="N160" s="2" t="s">
        <v>31</v>
      </c>
      <c r="R160" s="2" t="s">
        <v>39</v>
      </c>
      <c r="S160" s="2" t="s">
        <v>40</v>
      </c>
      <c r="T160" s="2" t="s">
        <v>25</v>
      </c>
      <c r="U160" s="2" t="s">
        <v>41</v>
      </c>
      <c r="W160" s="2">
        <v>19512335228</v>
      </c>
    </row>
    <row r="161" spans="1:23" hidden="1" x14ac:dyDescent="0.2">
      <c r="A161" s="4">
        <v>46139</v>
      </c>
      <c r="B161" s="2" t="s">
        <v>42</v>
      </c>
      <c r="C161" s="2" t="s">
        <v>195</v>
      </c>
      <c r="D161" s="5">
        <v>845.5</v>
      </c>
      <c r="E161" s="5" t="s">
        <v>25</v>
      </c>
      <c r="F161" s="5">
        <v>14967.81</v>
      </c>
      <c r="G161" s="2" t="s">
        <v>35</v>
      </c>
      <c r="H161" s="4">
        <v>46139</v>
      </c>
      <c r="I161" s="2">
        <v>1777272681</v>
      </c>
      <c r="J161" s="2" t="s">
        <v>196</v>
      </c>
      <c r="K161" s="2" t="s">
        <v>197</v>
      </c>
      <c r="L161" s="2" t="s">
        <v>198</v>
      </c>
      <c r="M161" s="2" t="s">
        <v>30</v>
      </c>
      <c r="N161" s="2" t="s">
        <v>31</v>
      </c>
      <c r="R161" s="2" t="s">
        <v>39</v>
      </c>
      <c r="S161" s="2" t="s">
        <v>40</v>
      </c>
      <c r="T161" s="2" t="s">
        <v>25</v>
      </c>
      <c r="U161" s="2" t="s">
        <v>41</v>
      </c>
      <c r="W161" s="2">
        <v>19512335288</v>
      </c>
    </row>
    <row r="162" spans="1:23" hidden="1" x14ac:dyDescent="0.2">
      <c r="A162" s="4">
        <v>46139</v>
      </c>
      <c r="B162" s="2" t="s">
        <v>42</v>
      </c>
      <c r="C162" s="2" t="s">
        <v>336</v>
      </c>
      <c r="D162" s="5">
        <v>1024</v>
      </c>
      <c r="E162" s="5" t="s">
        <v>25</v>
      </c>
      <c r="F162" s="5">
        <v>13943.81</v>
      </c>
      <c r="G162" s="2" t="s">
        <v>35</v>
      </c>
      <c r="H162" s="4">
        <v>46139</v>
      </c>
      <c r="I162" s="2">
        <v>1777272726</v>
      </c>
      <c r="J162" s="2" t="s">
        <v>337</v>
      </c>
      <c r="K162" s="2" t="s">
        <v>338</v>
      </c>
      <c r="L162" s="2" t="s">
        <v>25</v>
      </c>
      <c r="M162" s="2" t="s">
        <v>92</v>
      </c>
      <c r="N162" s="2" t="s">
        <v>93</v>
      </c>
      <c r="R162" s="2" t="s">
        <v>39</v>
      </c>
      <c r="S162" s="2" t="s">
        <v>40</v>
      </c>
      <c r="T162" s="2" t="s">
        <v>25</v>
      </c>
      <c r="U162" s="2" t="s">
        <v>185</v>
      </c>
      <c r="W162" s="2">
        <v>19512335294</v>
      </c>
    </row>
    <row r="163" spans="1:23" hidden="1" x14ac:dyDescent="0.2">
      <c r="A163" s="4">
        <v>46139</v>
      </c>
      <c r="B163" s="2" t="s">
        <v>186</v>
      </c>
      <c r="C163" s="2" t="s">
        <v>187</v>
      </c>
      <c r="D163" s="5">
        <v>5</v>
      </c>
      <c r="E163" s="5" t="s">
        <v>25</v>
      </c>
      <c r="F163" s="5">
        <v>13938.81</v>
      </c>
      <c r="G163" s="2" t="s">
        <v>49</v>
      </c>
      <c r="H163" s="4">
        <v>46139</v>
      </c>
      <c r="I163" s="2">
        <v>1777272726</v>
      </c>
      <c r="J163" s="2" t="s">
        <v>188</v>
      </c>
      <c r="K163" s="2" t="s">
        <v>189</v>
      </c>
      <c r="L163" s="2" t="s">
        <v>25</v>
      </c>
      <c r="M163" s="2" t="s">
        <v>30</v>
      </c>
      <c r="N163" s="2" t="s">
        <v>52</v>
      </c>
      <c r="T163" s="2" t="s">
        <v>25</v>
      </c>
      <c r="U163" s="2" t="s">
        <v>185</v>
      </c>
      <c r="W163" s="2">
        <v>19512335295</v>
      </c>
    </row>
    <row r="164" spans="1:23" hidden="1" x14ac:dyDescent="0.2">
      <c r="A164" s="4">
        <v>46139</v>
      </c>
      <c r="B164" s="2" t="s">
        <v>42</v>
      </c>
      <c r="C164" s="2" t="s">
        <v>192</v>
      </c>
      <c r="D164" s="5">
        <v>1157</v>
      </c>
      <c r="E164" s="5" t="s">
        <v>25</v>
      </c>
      <c r="F164" s="5">
        <v>12781.81</v>
      </c>
      <c r="G164" s="2" t="s">
        <v>35</v>
      </c>
      <c r="H164" s="4">
        <v>46139</v>
      </c>
      <c r="I164" s="2">
        <v>1777272804</v>
      </c>
      <c r="J164" s="2" t="s">
        <v>193</v>
      </c>
      <c r="K164" s="2" t="s">
        <v>194</v>
      </c>
      <c r="L164" s="2" t="s">
        <v>25</v>
      </c>
      <c r="M164" s="2" t="s">
        <v>92</v>
      </c>
      <c r="N164" s="2" t="s">
        <v>93</v>
      </c>
      <c r="R164" s="2" t="s">
        <v>39</v>
      </c>
      <c r="S164" s="2" t="s">
        <v>40</v>
      </c>
      <c r="T164" s="2" t="s">
        <v>25</v>
      </c>
      <c r="U164" s="2" t="s">
        <v>185</v>
      </c>
      <c r="W164" s="2">
        <v>19512335300</v>
      </c>
    </row>
    <row r="165" spans="1:23" hidden="1" x14ac:dyDescent="0.2">
      <c r="A165" s="4">
        <v>46139</v>
      </c>
      <c r="B165" s="2" t="s">
        <v>186</v>
      </c>
      <c r="C165" s="2" t="s">
        <v>187</v>
      </c>
      <c r="D165" s="5">
        <v>5</v>
      </c>
      <c r="E165" s="5" t="s">
        <v>25</v>
      </c>
      <c r="F165" s="5">
        <v>12776.81</v>
      </c>
      <c r="G165" s="2" t="s">
        <v>49</v>
      </c>
      <c r="H165" s="4">
        <v>46139</v>
      </c>
      <c r="I165" s="2">
        <v>1777272804</v>
      </c>
      <c r="J165" s="2" t="s">
        <v>188</v>
      </c>
      <c r="K165" s="2" t="s">
        <v>189</v>
      </c>
      <c r="L165" s="2" t="s">
        <v>25</v>
      </c>
      <c r="M165" s="2" t="s">
        <v>30</v>
      </c>
      <c r="N165" s="2" t="s">
        <v>52</v>
      </c>
      <c r="T165" s="2" t="s">
        <v>25</v>
      </c>
      <c r="U165" s="2" t="s">
        <v>185</v>
      </c>
      <c r="W165" s="2">
        <v>19512335301</v>
      </c>
    </row>
    <row r="166" spans="1:23" hidden="1" x14ac:dyDescent="0.2">
      <c r="A166" s="4">
        <v>46139</v>
      </c>
      <c r="B166" s="2" t="s">
        <v>42</v>
      </c>
      <c r="C166" s="2" t="s">
        <v>179</v>
      </c>
      <c r="D166" s="5">
        <v>811.08</v>
      </c>
      <c r="E166" s="5" t="s">
        <v>25</v>
      </c>
      <c r="F166" s="5">
        <v>11965.73</v>
      </c>
      <c r="G166" s="2" t="s">
        <v>35</v>
      </c>
      <c r="H166" s="4">
        <v>46139</v>
      </c>
      <c r="I166" s="2">
        <v>1777273249</v>
      </c>
      <c r="J166" s="2" t="s">
        <v>180</v>
      </c>
      <c r="K166" s="2" t="s">
        <v>181</v>
      </c>
      <c r="L166" s="2" t="s">
        <v>153</v>
      </c>
      <c r="M166" s="2" t="s">
        <v>30</v>
      </c>
      <c r="N166" s="2" t="s">
        <v>31</v>
      </c>
      <c r="R166" s="2" t="s">
        <v>39</v>
      </c>
      <c r="S166" s="2" t="s">
        <v>40</v>
      </c>
      <c r="T166" s="2" t="s">
        <v>25</v>
      </c>
      <c r="U166" s="2" t="s">
        <v>41</v>
      </c>
      <c r="W166" s="2">
        <v>19512335346</v>
      </c>
    </row>
    <row r="167" spans="1:23" hidden="1" x14ac:dyDescent="0.2">
      <c r="A167" s="4">
        <v>46139</v>
      </c>
      <c r="B167" s="2" t="s">
        <v>42</v>
      </c>
      <c r="C167" s="2" t="s">
        <v>195</v>
      </c>
      <c r="D167" s="5">
        <v>1549.4</v>
      </c>
      <c r="E167" s="5" t="s">
        <v>25</v>
      </c>
      <c r="F167" s="5">
        <v>10416.33</v>
      </c>
      <c r="G167" s="2" t="s">
        <v>35</v>
      </c>
      <c r="H167" s="4">
        <v>46139</v>
      </c>
      <c r="I167" s="2">
        <v>1777273767</v>
      </c>
      <c r="J167" s="2" t="s">
        <v>196</v>
      </c>
      <c r="K167" s="2" t="s">
        <v>197</v>
      </c>
      <c r="L167" s="2" t="s">
        <v>198</v>
      </c>
      <c r="M167" s="2" t="s">
        <v>30</v>
      </c>
      <c r="N167" s="2" t="s">
        <v>31</v>
      </c>
      <c r="R167" s="2" t="s">
        <v>39</v>
      </c>
      <c r="S167" s="2" t="s">
        <v>40</v>
      </c>
      <c r="T167" s="2" t="s">
        <v>25</v>
      </c>
      <c r="U167" s="2" t="s">
        <v>41</v>
      </c>
      <c r="W167" s="2">
        <v>19512335354</v>
      </c>
    </row>
    <row r="168" spans="1:23" hidden="1" x14ac:dyDescent="0.2">
      <c r="A168" s="4">
        <v>46139</v>
      </c>
      <c r="B168" s="2" t="s">
        <v>427</v>
      </c>
      <c r="C168" s="2" t="s">
        <v>34</v>
      </c>
      <c r="D168" s="5">
        <v>8</v>
      </c>
      <c r="E168" s="5" t="s">
        <v>25</v>
      </c>
      <c r="F168" s="5">
        <v>10408.33</v>
      </c>
      <c r="G168" s="2" t="s">
        <v>35</v>
      </c>
      <c r="H168" s="4">
        <v>46139</v>
      </c>
      <c r="I168" s="2">
        <v>1777275630</v>
      </c>
      <c r="J168" s="2" t="s">
        <v>36</v>
      </c>
      <c r="K168" s="2" t="s">
        <v>37</v>
      </c>
      <c r="L168" s="2" t="s">
        <v>38</v>
      </c>
      <c r="M168" s="2" t="s">
        <v>30</v>
      </c>
      <c r="N168" s="2" t="s">
        <v>31</v>
      </c>
      <c r="R168" s="2" t="s">
        <v>39</v>
      </c>
      <c r="S168" s="2" t="s">
        <v>40</v>
      </c>
      <c r="T168" s="2" t="s">
        <v>25</v>
      </c>
      <c r="U168" s="2" t="s">
        <v>41</v>
      </c>
      <c r="W168" s="2">
        <v>19512717186</v>
      </c>
    </row>
    <row r="169" spans="1:23" x14ac:dyDescent="0.2">
      <c r="A169" s="4">
        <v>46139</v>
      </c>
      <c r="B169" s="2" t="s">
        <v>428</v>
      </c>
      <c r="C169" s="2" t="s">
        <v>315</v>
      </c>
      <c r="D169" s="5" t="s">
        <v>25</v>
      </c>
      <c r="E169" s="5">
        <v>55</v>
      </c>
      <c r="F169" s="5">
        <v>10463.33</v>
      </c>
      <c r="G169" s="2" t="s">
        <v>26</v>
      </c>
      <c r="H169" s="4">
        <v>46139</v>
      </c>
      <c r="I169" s="2">
        <v>1777286306</v>
      </c>
      <c r="J169" s="2" t="s">
        <v>291</v>
      </c>
      <c r="K169" s="2" t="s">
        <v>316</v>
      </c>
      <c r="L169" s="2" t="s">
        <v>293</v>
      </c>
      <c r="M169" s="2" t="s">
        <v>30</v>
      </c>
      <c r="N169" s="2" t="s">
        <v>31</v>
      </c>
      <c r="R169" s="2" t="s">
        <v>293</v>
      </c>
      <c r="S169" s="2" t="s">
        <v>316</v>
      </c>
      <c r="T169" s="2" t="s">
        <v>25</v>
      </c>
      <c r="U169" s="2" t="s">
        <v>32</v>
      </c>
      <c r="W169" s="2">
        <v>19517413712</v>
      </c>
    </row>
    <row r="170" spans="1:23" hidden="1" x14ac:dyDescent="0.2">
      <c r="A170" s="4">
        <v>46140</v>
      </c>
      <c r="B170" s="2" t="s">
        <v>429</v>
      </c>
      <c r="C170" s="2" t="s">
        <v>430</v>
      </c>
      <c r="D170" s="5" t="s">
        <v>25</v>
      </c>
      <c r="E170" s="5">
        <v>1095.6300000000001</v>
      </c>
      <c r="F170" s="5">
        <v>11558.96</v>
      </c>
      <c r="G170" s="2" t="s">
        <v>26</v>
      </c>
      <c r="H170" s="4">
        <v>46140</v>
      </c>
      <c r="I170" s="2">
        <v>1777373680</v>
      </c>
      <c r="J170" s="2" t="s">
        <v>431</v>
      </c>
      <c r="K170" s="2" t="s">
        <v>432</v>
      </c>
      <c r="L170" s="2" t="s">
        <v>433</v>
      </c>
      <c r="M170" s="2" t="s">
        <v>30</v>
      </c>
      <c r="N170" s="2" t="s">
        <v>31</v>
      </c>
      <c r="R170" s="2" t="s">
        <v>433</v>
      </c>
      <c r="S170" s="2" t="s">
        <v>432</v>
      </c>
      <c r="T170" s="2" t="s">
        <v>25</v>
      </c>
      <c r="U170" s="2" t="s">
        <v>41</v>
      </c>
      <c r="W170" s="2">
        <v>19528714601</v>
      </c>
    </row>
    <row r="171" spans="1:23" hidden="1" x14ac:dyDescent="0.2">
      <c r="A171" s="4">
        <v>46140</v>
      </c>
      <c r="B171" s="2" t="s">
        <v>434</v>
      </c>
      <c r="C171" s="2" t="s">
        <v>65</v>
      </c>
      <c r="D171" s="5" t="s">
        <v>25</v>
      </c>
      <c r="E171" s="5">
        <v>75</v>
      </c>
      <c r="F171" s="5">
        <v>11633.96</v>
      </c>
      <c r="G171" s="2" t="s">
        <v>26</v>
      </c>
      <c r="H171" s="4">
        <v>46140</v>
      </c>
      <c r="I171" s="2">
        <v>1777375125</v>
      </c>
      <c r="J171" s="2" t="s">
        <v>66</v>
      </c>
      <c r="K171" s="2" t="s">
        <v>67</v>
      </c>
      <c r="L171" s="2" t="s">
        <v>68</v>
      </c>
      <c r="M171" s="2" t="s">
        <v>30</v>
      </c>
      <c r="N171" s="2" t="s">
        <v>31</v>
      </c>
      <c r="R171" s="2" t="s">
        <v>68</v>
      </c>
      <c r="S171" s="2" t="s">
        <v>67</v>
      </c>
      <c r="T171" s="2" t="s">
        <v>25</v>
      </c>
      <c r="U171" s="2" t="s">
        <v>32</v>
      </c>
      <c r="W171" s="2">
        <v>19529154301</v>
      </c>
    </row>
    <row r="172" spans="1:23" hidden="1" x14ac:dyDescent="0.2">
      <c r="A172" s="4">
        <v>46140</v>
      </c>
      <c r="B172" s="2" t="s">
        <v>319</v>
      </c>
      <c r="C172" s="2" t="s">
        <v>435</v>
      </c>
      <c r="D172" s="5">
        <v>1200</v>
      </c>
      <c r="E172" s="5" t="s">
        <v>25</v>
      </c>
      <c r="F172" s="5">
        <v>10433.959999999999</v>
      </c>
      <c r="G172" s="2" t="s">
        <v>35</v>
      </c>
      <c r="H172" s="4">
        <v>46140</v>
      </c>
      <c r="I172" s="2">
        <v>1777365169</v>
      </c>
      <c r="J172" s="2" t="s">
        <v>436</v>
      </c>
      <c r="K172" s="2" t="s">
        <v>437</v>
      </c>
      <c r="L172" s="2" t="s">
        <v>438</v>
      </c>
      <c r="M172" s="2" t="s">
        <v>30</v>
      </c>
      <c r="N172" s="2" t="s">
        <v>31</v>
      </c>
      <c r="R172" s="2" t="s">
        <v>39</v>
      </c>
      <c r="S172" s="2" t="s">
        <v>40</v>
      </c>
      <c r="T172" s="2" t="s">
        <v>25</v>
      </c>
      <c r="U172" s="2" t="s">
        <v>41</v>
      </c>
      <c r="W172" s="2">
        <v>19529174457</v>
      </c>
    </row>
    <row r="173" spans="1:23" hidden="1" x14ac:dyDescent="0.2">
      <c r="A173" s="4">
        <v>46140</v>
      </c>
      <c r="B173" s="2" t="s">
        <v>319</v>
      </c>
      <c r="C173" s="2" t="s">
        <v>320</v>
      </c>
      <c r="D173" s="5">
        <v>1000</v>
      </c>
      <c r="E173" s="5" t="s">
        <v>25</v>
      </c>
      <c r="F173" s="5">
        <v>9433.9599999999991</v>
      </c>
      <c r="G173" s="2" t="s">
        <v>35</v>
      </c>
      <c r="H173" s="4">
        <v>46140</v>
      </c>
      <c r="I173" s="2">
        <v>1777365184</v>
      </c>
      <c r="J173" s="2" t="s">
        <v>321</v>
      </c>
      <c r="K173" s="2" t="s">
        <v>322</v>
      </c>
      <c r="L173" s="2" t="s">
        <v>323</v>
      </c>
      <c r="M173" s="2" t="s">
        <v>30</v>
      </c>
      <c r="N173" s="2" t="s">
        <v>31</v>
      </c>
      <c r="R173" s="2" t="s">
        <v>39</v>
      </c>
      <c r="S173" s="2" t="s">
        <v>40</v>
      </c>
      <c r="T173" s="2" t="s">
        <v>25</v>
      </c>
      <c r="U173" s="2" t="s">
        <v>41</v>
      </c>
      <c r="W173" s="2">
        <v>19529174469</v>
      </c>
    </row>
    <row r="174" spans="1:23" hidden="1" x14ac:dyDescent="0.2">
      <c r="A174" s="4">
        <v>46140</v>
      </c>
      <c r="B174" s="2" t="s">
        <v>42</v>
      </c>
      <c r="C174" s="2" t="s">
        <v>190</v>
      </c>
      <c r="D174" s="5">
        <v>100</v>
      </c>
      <c r="E174" s="5" t="s">
        <v>25</v>
      </c>
      <c r="F174" s="5">
        <v>9333.9599999999991</v>
      </c>
      <c r="G174" s="2" t="s">
        <v>35</v>
      </c>
      <c r="H174" s="4">
        <v>46140</v>
      </c>
      <c r="I174" s="2">
        <v>1777375119</v>
      </c>
      <c r="J174" s="2" t="s">
        <v>44</v>
      </c>
      <c r="K174" s="2" t="s">
        <v>191</v>
      </c>
      <c r="L174" s="2" t="s">
        <v>46</v>
      </c>
      <c r="M174" s="2" t="s">
        <v>30</v>
      </c>
      <c r="N174" s="2" t="s">
        <v>31</v>
      </c>
      <c r="R174" s="2" t="s">
        <v>39</v>
      </c>
      <c r="S174" s="2" t="s">
        <v>40</v>
      </c>
      <c r="T174" s="2" t="s">
        <v>25</v>
      </c>
      <c r="U174" s="2" t="s">
        <v>41</v>
      </c>
      <c r="W174" s="2">
        <v>19529174523</v>
      </c>
    </row>
    <row r="175" spans="1:23" hidden="1" x14ac:dyDescent="0.2">
      <c r="A175" s="4">
        <v>46141</v>
      </c>
      <c r="B175" s="2" t="s">
        <v>439</v>
      </c>
      <c r="C175" s="2" t="s">
        <v>278</v>
      </c>
      <c r="D175" s="5" t="s">
        <v>25</v>
      </c>
      <c r="E175" s="5">
        <v>4315.8500000000004</v>
      </c>
      <c r="F175" s="5">
        <v>13649.81</v>
      </c>
      <c r="G175" s="2" t="s">
        <v>26</v>
      </c>
      <c r="H175" s="4">
        <v>46141</v>
      </c>
      <c r="I175" s="2">
        <v>1777446112</v>
      </c>
      <c r="J175" s="2" t="s">
        <v>279</v>
      </c>
      <c r="K175" s="2" t="s">
        <v>280</v>
      </c>
      <c r="L175" s="2" t="s">
        <v>281</v>
      </c>
      <c r="M175" s="2" t="s">
        <v>30</v>
      </c>
      <c r="N175" s="2" t="s">
        <v>31</v>
      </c>
      <c r="R175" s="2" t="s">
        <v>281</v>
      </c>
      <c r="S175" s="2" t="s">
        <v>280</v>
      </c>
      <c r="T175" s="2" t="s">
        <v>25</v>
      </c>
      <c r="U175" s="2" t="s">
        <v>41</v>
      </c>
      <c r="W175" s="2">
        <v>19535392171</v>
      </c>
    </row>
    <row r="176" spans="1:23" hidden="1" x14ac:dyDescent="0.2">
      <c r="A176" s="4">
        <v>46141</v>
      </c>
      <c r="B176" s="2" t="s">
        <v>440</v>
      </c>
      <c r="C176" s="2" t="s">
        <v>378</v>
      </c>
      <c r="D176" s="5" t="s">
        <v>25</v>
      </c>
      <c r="E176" s="5">
        <v>80</v>
      </c>
      <c r="F176" s="5">
        <v>13729.81</v>
      </c>
      <c r="G176" s="2" t="s">
        <v>26</v>
      </c>
      <c r="H176" s="4">
        <v>46141</v>
      </c>
      <c r="I176" s="2">
        <v>1777460604</v>
      </c>
      <c r="J176" s="2" t="s">
        <v>379</v>
      </c>
      <c r="K176" s="2" t="s">
        <v>380</v>
      </c>
      <c r="L176" s="2" t="s">
        <v>381</v>
      </c>
      <c r="M176" s="2" t="s">
        <v>30</v>
      </c>
      <c r="N176" s="2" t="s">
        <v>31</v>
      </c>
      <c r="R176" s="2" t="s">
        <v>381</v>
      </c>
      <c r="S176" s="2" t="s">
        <v>380</v>
      </c>
      <c r="T176" s="2" t="s">
        <v>25</v>
      </c>
      <c r="U176" s="2" t="s">
        <v>32</v>
      </c>
      <c r="W176" s="2">
        <v>19540832775</v>
      </c>
    </row>
    <row r="177" spans="1:23" hidden="1" x14ac:dyDescent="0.2">
      <c r="A177" s="4">
        <v>46141</v>
      </c>
      <c r="B177" s="2" t="s">
        <v>441</v>
      </c>
      <c r="C177" s="2" t="s">
        <v>325</v>
      </c>
      <c r="D177" s="5">
        <v>20</v>
      </c>
      <c r="E177" s="5" t="s">
        <v>25</v>
      </c>
      <c r="F177" s="5">
        <v>13709.81</v>
      </c>
      <c r="G177" s="2" t="s">
        <v>35</v>
      </c>
      <c r="H177" s="4">
        <v>46141</v>
      </c>
      <c r="I177" s="2">
        <v>1777454195</v>
      </c>
      <c r="J177" s="2" t="s">
        <v>326</v>
      </c>
      <c r="K177" s="2" t="s">
        <v>327</v>
      </c>
      <c r="L177" s="2" t="s">
        <v>328</v>
      </c>
      <c r="M177" s="2" t="s">
        <v>30</v>
      </c>
      <c r="N177" s="2" t="s">
        <v>31</v>
      </c>
      <c r="R177" s="2" t="s">
        <v>39</v>
      </c>
      <c r="S177" s="2" t="s">
        <v>40</v>
      </c>
      <c r="T177" s="2" t="s">
        <v>25</v>
      </c>
      <c r="U177" s="2" t="s">
        <v>41</v>
      </c>
      <c r="W177" s="2">
        <v>19541772195</v>
      </c>
    </row>
    <row r="178" spans="1:23" hidden="1" x14ac:dyDescent="0.2">
      <c r="A178" s="4">
        <v>46141</v>
      </c>
      <c r="B178" s="2" t="s">
        <v>23</v>
      </c>
      <c r="C178" s="2" t="s">
        <v>24</v>
      </c>
      <c r="D178" s="5" t="s">
        <v>25</v>
      </c>
      <c r="E178" s="5">
        <v>100</v>
      </c>
      <c r="F178" s="5">
        <v>13809.81</v>
      </c>
      <c r="G178" s="2" t="s">
        <v>26</v>
      </c>
      <c r="H178" s="4">
        <v>46141</v>
      </c>
      <c r="I178" s="2">
        <v>1777476772</v>
      </c>
      <c r="J178" s="2" t="s">
        <v>27</v>
      </c>
      <c r="K178" s="2" t="s">
        <v>28</v>
      </c>
      <c r="L178" s="2" t="s">
        <v>29</v>
      </c>
      <c r="M178" s="2" t="s">
        <v>30</v>
      </c>
      <c r="N178" s="2" t="s">
        <v>31</v>
      </c>
      <c r="R178" s="2" t="s">
        <v>29</v>
      </c>
      <c r="S178" s="2" t="s">
        <v>28</v>
      </c>
      <c r="T178" s="2" t="s">
        <v>25</v>
      </c>
      <c r="U178" s="2" t="s">
        <v>32</v>
      </c>
      <c r="W178" s="2">
        <v>19543645123</v>
      </c>
    </row>
    <row r="179" spans="1:23" hidden="1" x14ac:dyDescent="0.2">
      <c r="A179" s="4">
        <v>46142</v>
      </c>
      <c r="B179" s="2" t="s">
        <v>42</v>
      </c>
      <c r="C179" s="2" t="s">
        <v>190</v>
      </c>
      <c r="D179" s="5">
        <v>500</v>
      </c>
      <c r="E179" s="5" t="s">
        <v>25</v>
      </c>
      <c r="F179" s="5">
        <v>13309.81</v>
      </c>
      <c r="G179" s="2" t="s">
        <v>35</v>
      </c>
      <c r="H179" s="4">
        <v>46142</v>
      </c>
      <c r="I179" s="2">
        <v>1777537662</v>
      </c>
      <c r="J179" s="2" t="s">
        <v>44</v>
      </c>
      <c r="K179" s="2" t="s">
        <v>191</v>
      </c>
      <c r="L179" s="2" t="s">
        <v>46</v>
      </c>
      <c r="M179" s="2" t="s">
        <v>30</v>
      </c>
      <c r="N179" s="2" t="s">
        <v>31</v>
      </c>
      <c r="R179" s="2" t="s">
        <v>39</v>
      </c>
      <c r="S179" s="2" t="s">
        <v>40</v>
      </c>
      <c r="T179" s="2" t="s">
        <v>25</v>
      </c>
      <c r="U179" s="2" t="s">
        <v>41</v>
      </c>
      <c r="W179" s="2">
        <v>19549716837</v>
      </c>
    </row>
    <row r="180" spans="1:23" hidden="1" x14ac:dyDescent="0.2">
      <c r="A180" s="4">
        <v>46142</v>
      </c>
      <c r="B180" s="2" t="s">
        <v>442</v>
      </c>
      <c r="C180" s="2" t="s">
        <v>150</v>
      </c>
      <c r="D180" s="5" t="s">
        <v>25</v>
      </c>
      <c r="E180" s="5">
        <v>174</v>
      </c>
      <c r="F180" s="5">
        <v>13483.81</v>
      </c>
      <c r="G180" s="2" t="s">
        <v>26</v>
      </c>
      <c r="H180" s="4">
        <v>46142</v>
      </c>
      <c r="I180" s="2">
        <v>1777542330</v>
      </c>
      <c r="J180" s="2" t="s">
        <v>151</v>
      </c>
      <c r="K180" s="2" t="s">
        <v>152</v>
      </c>
      <c r="L180" s="2" t="s">
        <v>153</v>
      </c>
      <c r="M180" s="2" t="s">
        <v>30</v>
      </c>
      <c r="N180" s="2" t="s">
        <v>31</v>
      </c>
      <c r="R180" s="2" t="s">
        <v>153</v>
      </c>
      <c r="S180" s="2" t="s">
        <v>152</v>
      </c>
      <c r="T180" s="2" t="s">
        <v>25</v>
      </c>
      <c r="U180" s="2" t="s">
        <v>32</v>
      </c>
      <c r="W180" s="2">
        <v>19550329399</v>
      </c>
    </row>
    <row r="181" spans="1:23" x14ac:dyDescent="0.2">
      <c r="A181" s="4">
        <v>46142</v>
      </c>
      <c r="B181" s="2" t="s">
        <v>443</v>
      </c>
      <c r="C181" s="2" t="s">
        <v>315</v>
      </c>
      <c r="D181" s="5" t="s">
        <v>25</v>
      </c>
      <c r="E181" s="5">
        <v>55</v>
      </c>
      <c r="F181" s="5">
        <v>13538.81</v>
      </c>
      <c r="G181" s="2" t="s">
        <v>26</v>
      </c>
      <c r="H181" s="4">
        <v>46142</v>
      </c>
      <c r="I181" s="2">
        <v>1777570584</v>
      </c>
      <c r="J181" s="2" t="s">
        <v>291</v>
      </c>
      <c r="K181" s="2" t="s">
        <v>316</v>
      </c>
      <c r="L181" s="2" t="s">
        <v>293</v>
      </c>
      <c r="M181" s="2" t="s">
        <v>30</v>
      </c>
      <c r="N181" s="2" t="s">
        <v>31</v>
      </c>
      <c r="R181" s="2" t="s">
        <v>293</v>
      </c>
      <c r="S181" s="2" t="s">
        <v>316</v>
      </c>
      <c r="T181" s="2" t="s">
        <v>25</v>
      </c>
      <c r="U181" s="2" t="s">
        <v>32</v>
      </c>
      <c r="W181" s="2">
        <v>19556639650</v>
      </c>
    </row>
  </sheetData>
  <autoFilter ref="A1:Z181" xr:uid="{00000000-0009-0000-0000-000001000000}">
    <filterColumn colId="2">
      <filters>
        <filter val="ბადრი სირაძე, TBCBGE22, GE67TB7692345061100079"/>
        <filter val="ი/მ ბადრი სირაძე, 22001020425, TBCBGE22, GE67TB7692345061100079"/>
      </filters>
    </filterColumn>
  </autoFilter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F67C-14C3-480A-921F-C2CC465259CC}">
  <dimension ref="D4:G14"/>
  <sheetViews>
    <sheetView workbookViewId="0">
      <selection activeCell="G18" sqref="G18"/>
    </sheetView>
  </sheetViews>
  <sheetFormatPr defaultRowHeight="14.4" x14ac:dyDescent="0.3"/>
  <sheetData>
    <row r="4" spans="4:7" x14ac:dyDescent="0.3">
      <c r="D4" s="2" t="s">
        <v>181</v>
      </c>
      <c r="E4">
        <f>SUMIFS('GE90TB7716236080100009-GEL'!D:D,'GE90TB7716236080100009-GEL'!B:B,"მომსახურების ანაზღაურება",'GE90TB7716236080100009-GEL'!K:K,D4)</f>
        <v>3173.39</v>
      </c>
      <c r="F4">
        <f>SUMIFS('GE90TB7716236080100009-GEL'!D:D,'GE90TB7716236080100009-GEL'!B:B,"მომსახურების ანაზღაურება მარტი",'GE90TB7716236080100009-GEL'!K:K,D4)</f>
        <v>50.01</v>
      </c>
      <c r="G4">
        <f>E4+F4</f>
        <v>3223.4</v>
      </c>
    </row>
    <row r="5" spans="4:7" x14ac:dyDescent="0.3">
      <c r="D5" s="2" t="s">
        <v>184</v>
      </c>
      <c r="E5">
        <f>SUMIFS('GE90TB7716236080100009-GEL'!D:D,'GE90TB7716236080100009-GEL'!B:B,"მომსახურების ანაზღაურება",'GE90TB7716236080100009-GEL'!K:K,D5)</f>
        <v>1055</v>
      </c>
      <c r="F5">
        <f>SUMIFS('GE90TB7716236080100009-GEL'!D:D,'GE90TB7716236080100009-GEL'!B:B,"მომსახურების ანაზღაურება მარტი",'GE90TB7716236080100009-GEL'!K:K,D5)</f>
        <v>60.8</v>
      </c>
      <c r="G5">
        <f t="shared" ref="G5:G14" si="0">E5+F5</f>
        <v>1115.8</v>
      </c>
    </row>
    <row r="6" spans="4:7" x14ac:dyDescent="0.3">
      <c r="D6" s="2" t="s">
        <v>191</v>
      </c>
      <c r="E6">
        <f>SUMIFS('GE90TB7716236080100009-GEL'!D:D,'GE90TB7716236080100009-GEL'!B:B,"მომსახურების ანაზღაურება",'GE90TB7716236080100009-GEL'!K:K,D6)</f>
        <v>4543</v>
      </c>
      <c r="F6">
        <f>SUMIFS('GE90TB7716236080100009-GEL'!D:D,'GE90TB7716236080100009-GEL'!B:B,"მომსახურების ანაზღაურება მარტი",'GE90TB7716236080100009-GEL'!K:K,D6)</f>
        <v>63</v>
      </c>
      <c r="G6">
        <f t="shared" si="0"/>
        <v>4606</v>
      </c>
    </row>
    <row r="7" spans="4:7" x14ac:dyDescent="0.3">
      <c r="D7" s="2" t="s">
        <v>194</v>
      </c>
      <c r="E7">
        <f>SUMIFS('GE90TB7716236080100009-GEL'!D:D,'GE90TB7716236080100009-GEL'!B:B,"მომსახურების ანაზღაურება",'GE90TB7716236080100009-GEL'!K:K,D7)</f>
        <v>2047</v>
      </c>
      <c r="F7">
        <f>SUMIFS('GE90TB7716236080100009-GEL'!D:D,'GE90TB7716236080100009-GEL'!B:B,"მომსახურების ანაზღაურება მარტი",'GE90TB7716236080100009-GEL'!K:K,D7)</f>
        <v>43.01</v>
      </c>
      <c r="G7">
        <f t="shared" si="0"/>
        <v>2090.0100000000002</v>
      </c>
    </row>
    <row r="8" spans="4:7" x14ac:dyDescent="0.3">
      <c r="D8" s="2" t="s">
        <v>197</v>
      </c>
      <c r="E8">
        <f>SUMIFS('GE90TB7716236080100009-GEL'!D:D,'GE90TB7716236080100009-GEL'!B:B,"მომსახურების ანაზღაურება",'GE90TB7716236080100009-GEL'!K:K,D8)</f>
        <v>5103.13</v>
      </c>
      <c r="F8">
        <f>SUMIFS('GE90TB7716236080100009-GEL'!D:D,'GE90TB7716236080100009-GEL'!B:B,"მომსახურების ანაზღაურება მარტი",'GE90TB7716236080100009-GEL'!K:K,D8)</f>
        <v>41.5</v>
      </c>
      <c r="G8">
        <f t="shared" si="0"/>
        <v>5144.63</v>
      </c>
    </row>
    <row r="9" spans="4:7" x14ac:dyDescent="0.3">
      <c r="D9" s="2" t="s">
        <v>292</v>
      </c>
      <c r="E9">
        <f>SUMIFS('GE90TB7716236080100009-GEL'!D:D,'GE90TB7716236080100009-GEL'!B:B,"მომსახურების ანაზღაურება",'GE90TB7716236080100009-GEL'!K:K,D9)</f>
        <v>774</v>
      </c>
      <c r="F9">
        <f>SUMIFS('GE90TB7716236080100009-GEL'!D:D,'GE90TB7716236080100009-GEL'!B:B,"მომსახურების ანაზღაურება მარტი",'GE90TB7716236080100009-GEL'!K:K,D9)</f>
        <v>57.85</v>
      </c>
      <c r="G9">
        <f t="shared" si="0"/>
        <v>831.85</v>
      </c>
    </row>
    <row r="10" spans="4:7" x14ac:dyDescent="0.3">
      <c r="D10" s="2" t="s">
        <v>295</v>
      </c>
      <c r="E10">
        <f>SUMIFS('GE90TB7716236080100009-GEL'!D:D,'GE90TB7716236080100009-GEL'!B:B,"მომსახურების ანაზღაურება",'GE90TB7716236080100009-GEL'!K:K,D10)</f>
        <v>4481.8500000000004</v>
      </c>
      <c r="F10">
        <f>SUMIFS('GE90TB7716236080100009-GEL'!D:D,'GE90TB7716236080100009-GEL'!B:B,"მომსახურების ანაზღაურება მარტი",'GE90TB7716236080100009-GEL'!K:K,D10)</f>
        <v>32.799999999999997</v>
      </c>
      <c r="G10">
        <f t="shared" si="0"/>
        <v>4514.6500000000005</v>
      </c>
    </row>
    <row r="11" spans="4:7" x14ac:dyDescent="0.3">
      <c r="D11" s="2" t="s">
        <v>298</v>
      </c>
      <c r="E11">
        <f>SUMIFS('GE90TB7716236080100009-GEL'!D:D,'GE90TB7716236080100009-GEL'!B:B,"მომსახურების ანაზღაურება",'GE90TB7716236080100009-GEL'!K:K,D11)</f>
        <v>924</v>
      </c>
      <c r="F11">
        <f>SUMIFS('GE90TB7716236080100009-GEL'!D:D,'GE90TB7716236080100009-GEL'!B:B,"მომსახურების ანაზღაურება მარტი",'GE90TB7716236080100009-GEL'!K:K,D11)</f>
        <v>80.5</v>
      </c>
      <c r="G11">
        <f t="shared" si="0"/>
        <v>1004.5</v>
      </c>
    </row>
    <row r="12" spans="4:7" x14ac:dyDescent="0.3">
      <c r="D12" s="2" t="s">
        <v>301</v>
      </c>
      <c r="E12">
        <f>SUMIFS('GE90TB7716236080100009-GEL'!D:D,'GE90TB7716236080100009-GEL'!B:B,"მომსახურების ანაზღაურება",'GE90TB7716236080100009-GEL'!K:K,D12)</f>
        <v>1514.77</v>
      </c>
      <c r="F12">
        <f>SUMIFS('GE90TB7716236080100009-GEL'!D:D,'GE90TB7716236080100009-GEL'!B:B,"მომსახურების ანაზღაურება მარტი",'GE90TB7716236080100009-GEL'!K:K,D12)</f>
        <v>39.56</v>
      </c>
      <c r="G12">
        <f t="shared" si="0"/>
        <v>1554.33</v>
      </c>
    </row>
    <row r="13" spans="4:7" x14ac:dyDescent="0.3">
      <c r="D13" s="2" t="s">
        <v>333</v>
      </c>
      <c r="E13">
        <f>SUMIFS('GE90TB7716236080100009-GEL'!D:D,'GE90TB7716236080100009-GEL'!B:B,"მომსახურების ანაზღაურება",'GE90TB7716236080100009-GEL'!K:K,D13)</f>
        <v>0</v>
      </c>
      <c r="F13">
        <f>SUMIFS('GE90TB7716236080100009-GEL'!D:D,'GE90TB7716236080100009-GEL'!B:B,"მომსახურების ანაზღაურება მარტი",'GE90TB7716236080100009-GEL'!K:K,D13)</f>
        <v>7.12</v>
      </c>
      <c r="G13">
        <f t="shared" si="0"/>
        <v>7.12</v>
      </c>
    </row>
    <row r="14" spans="4:7" x14ac:dyDescent="0.3">
      <c r="D14" s="2" t="s">
        <v>338</v>
      </c>
      <c r="E14">
        <f>SUMIFS('GE90TB7716236080100009-GEL'!D:D,'GE90TB7716236080100009-GEL'!B:B,"მომსახურების ანაზღაურება",'GE90TB7716236080100009-GEL'!K:K,D14)</f>
        <v>1024</v>
      </c>
      <c r="F14">
        <f>SUMIFS('GE90TB7716236080100009-GEL'!D:D,'GE90TB7716236080100009-GEL'!B:B,"მომსახურების ანაზღაურება მარტი",'GE90TB7716236080100009-GEL'!K:K,D14)</f>
        <v>89.5</v>
      </c>
      <c r="G14">
        <f t="shared" si="0"/>
        <v>1113.5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GE90TB7716236080100009-GEL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 kharazishvilli</cp:lastModifiedBy>
  <dcterms:created xsi:type="dcterms:W3CDTF">2022-06-10T07:19:46Z</dcterms:created>
  <dcterms:modified xsi:type="dcterms:W3CDTF">2026-05-12T12:39:57Z</dcterms:modified>
</cp:coreProperties>
</file>